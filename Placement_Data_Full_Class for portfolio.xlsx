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b42572a626b2a1/Desktop/Practice data sets/"/>
    </mc:Choice>
  </mc:AlternateContent>
  <xr:revisionPtr revIDLastSave="472" documentId="8_{50DBAEB0-898D-4124-82F3-D6089AF0BA39}" xr6:coauthVersionLast="47" xr6:coauthVersionMax="47" xr10:uidLastSave="{B26A5977-342A-4137-A983-81B16C09B2D9}"/>
  <bookViews>
    <workbookView xWindow="-108" yWindow="-108" windowWidth="23256" windowHeight="13176" activeTab="1" xr2:uid="{65F70A13-9904-420C-A27B-1D3CFB887A19}"/>
  </bookViews>
  <sheets>
    <sheet name="Placement_Data_Full_Class" sheetId="1" r:id="rId1"/>
    <sheet name="Data_insights" sheetId="2" r:id="rId2"/>
    <sheet name="Placement_asper_department" sheetId="6" r:id="rId3"/>
    <sheet name="Number_Of_student_per_departmen" sheetId="7" r:id="rId4"/>
    <sheet name="Questions that are answerd " sheetId="8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R199" i="1"/>
  <c r="R41" i="1"/>
  <c r="R84" i="1"/>
  <c r="R132" i="1"/>
  <c r="R6" i="1"/>
  <c r="R200" i="1"/>
  <c r="R92" i="1"/>
  <c r="R125" i="1"/>
  <c r="R25" i="1"/>
  <c r="R206" i="1"/>
  <c r="R149" i="1"/>
  <c r="R158" i="1"/>
  <c r="R150" i="1"/>
  <c r="R120" i="1"/>
  <c r="R80" i="1"/>
  <c r="R101" i="1"/>
  <c r="R159" i="1"/>
  <c r="R160" i="1"/>
  <c r="R121" i="1"/>
  <c r="R213" i="1"/>
  <c r="R214" i="1"/>
  <c r="R12" i="1"/>
  <c r="R197" i="1"/>
  <c r="R23" i="1"/>
  <c r="R3" i="1"/>
  <c r="R81" i="1"/>
  <c r="R16" i="1"/>
  <c r="R122" i="1"/>
  <c r="R96" i="1"/>
  <c r="R79" i="1"/>
  <c r="R211" i="1"/>
  <c r="R140" i="1"/>
  <c r="R212" i="1"/>
  <c r="R36" i="1"/>
  <c r="R119" i="1"/>
  <c r="R107" i="1"/>
  <c r="R141" i="1"/>
  <c r="R178" i="1"/>
  <c r="R208" i="1"/>
  <c r="R21" i="1"/>
  <c r="R161" i="1"/>
  <c r="R135" i="1"/>
  <c r="R146" i="1"/>
  <c r="R13" i="1"/>
  <c r="R29" i="1"/>
  <c r="R179" i="1"/>
  <c r="R123" i="1"/>
  <c r="R74" i="1"/>
  <c r="R142" i="1"/>
  <c r="R136" i="1"/>
  <c r="R137" i="1"/>
  <c r="R126" i="1"/>
  <c r="R106" i="1"/>
  <c r="R40" i="1"/>
  <c r="R75" i="1"/>
  <c r="R108" i="1"/>
  <c r="R124" i="1"/>
  <c r="R63" i="1"/>
  <c r="R93" i="1"/>
  <c r="R184" i="1"/>
  <c r="R162" i="1"/>
  <c r="R154" i="1"/>
  <c r="R173" i="1"/>
  <c r="R118" i="1"/>
  <c r="R156" i="1"/>
  <c r="R28" i="1"/>
  <c r="R116" i="1"/>
  <c r="R117" i="1"/>
  <c r="R71" i="1"/>
  <c r="R110" i="1"/>
  <c r="R30" i="1"/>
  <c r="R14" i="1"/>
  <c r="R10" i="1"/>
  <c r="R43" i="1"/>
  <c r="R50" i="1"/>
  <c r="R94" i="1"/>
  <c r="R157" i="1"/>
  <c r="R115" i="1"/>
  <c r="R42" i="1"/>
  <c r="R85" i="1"/>
  <c r="R127" i="1"/>
  <c r="R44" i="1"/>
  <c r="R59" i="1"/>
  <c r="R51" i="1"/>
  <c r="R201" i="1"/>
  <c r="R73" i="1"/>
  <c r="R128" i="1"/>
  <c r="R86" i="1"/>
  <c r="R180" i="1"/>
  <c r="R151" i="1"/>
  <c r="R24" i="1"/>
  <c r="R129" i="1"/>
  <c r="R102" i="1"/>
  <c r="R103" i="1"/>
  <c r="R207" i="1"/>
  <c r="R11" i="1"/>
  <c r="R133" i="1"/>
  <c r="R18" i="1"/>
  <c r="R111" i="1"/>
  <c r="R215" i="1"/>
  <c r="R190" i="1"/>
  <c r="R76" i="1"/>
  <c r="R185" i="1"/>
  <c r="R47" i="1"/>
  <c r="R202" i="1"/>
  <c r="R48" i="1"/>
  <c r="R109" i="1"/>
  <c r="R64" i="1"/>
  <c r="R52" i="1"/>
  <c r="R45" i="1"/>
  <c r="R186" i="1"/>
  <c r="R163" i="1"/>
  <c r="R181" i="1"/>
  <c r="R100" i="1"/>
  <c r="R209" i="1"/>
  <c r="R31" i="1"/>
  <c r="R7" i="1"/>
  <c r="R65" i="1"/>
  <c r="R4" i="1"/>
  <c r="R58" i="1"/>
  <c r="R97" i="1"/>
  <c r="R195" i="1"/>
  <c r="R62" i="1"/>
  <c r="R164" i="1"/>
  <c r="R143" i="1"/>
  <c r="R87" i="1"/>
  <c r="R112" i="1"/>
  <c r="R198" i="1"/>
  <c r="R61" i="1"/>
  <c r="R27" i="1"/>
  <c r="R53" i="1"/>
  <c r="R66" i="1"/>
  <c r="R91" i="1"/>
  <c r="R138" i="1"/>
  <c r="R17" i="1"/>
  <c r="R196" i="1"/>
  <c r="R77" i="1"/>
  <c r="R192" i="1"/>
  <c r="R8" i="1"/>
  <c r="R182" i="1"/>
  <c r="R193" i="1"/>
  <c r="R165" i="1"/>
  <c r="R166" i="1"/>
  <c r="R32" i="1"/>
  <c r="R167" i="1"/>
  <c r="R104" i="1"/>
  <c r="R49" i="1"/>
  <c r="R56" i="1"/>
  <c r="R187" i="1"/>
  <c r="R139" i="1"/>
  <c r="R194" i="1"/>
  <c r="R57" i="1"/>
  <c r="R2" i="1"/>
  <c r="R46" i="1"/>
  <c r="R113" i="1"/>
  <c r="R191" i="1"/>
  <c r="R67" i="1"/>
  <c r="R19" i="1"/>
  <c r="R168" i="1"/>
  <c r="R152" i="1"/>
  <c r="R88" i="1"/>
  <c r="R183" i="1"/>
  <c r="R83" i="1"/>
  <c r="R89" i="1"/>
  <c r="R210" i="1"/>
  <c r="R68" i="1"/>
  <c r="R147" i="1"/>
  <c r="R176" i="1"/>
  <c r="R169" i="1"/>
  <c r="R205" i="1"/>
  <c r="R177" i="1"/>
  <c r="R145" i="1"/>
  <c r="R54" i="1"/>
  <c r="R130" i="1"/>
  <c r="R144" i="1"/>
  <c r="R39" i="1"/>
  <c r="R203" i="1"/>
  <c r="R33" i="1"/>
  <c r="R98" i="1"/>
  <c r="R82" i="1"/>
  <c r="R188" i="1"/>
  <c r="R148" i="1"/>
  <c r="R90" i="1"/>
  <c r="R170" i="1"/>
  <c r="R171" i="1"/>
  <c r="R60" i="1"/>
  <c r="R204" i="1"/>
  <c r="R15" i="1"/>
  <c r="R189" i="1"/>
  <c r="R9" i="1"/>
  <c r="R216" i="1"/>
  <c r="R105" i="1"/>
  <c r="R20" i="1"/>
  <c r="R69" i="1"/>
  <c r="R174" i="1"/>
  <c r="R55" i="1"/>
  <c r="R78" i="1"/>
  <c r="R172" i="1"/>
  <c r="R37" i="1"/>
  <c r="R99" i="1"/>
  <c r="R38" i="1"/>
  <c r="R72" i="1"/>
  <c r="R155" i="1"/>
  <c r="R134" i="1"/>
  <c r="R70" i="1"/>
  <c r="R153" i="1"/>
  <c r="R5" i="1"/>
  <c r="R35" i="1"/>
  <c r="R22" i="1"/>
  <c r="R131" i="1"/>
  <c r="R26" i="1"/>
  <c r="R95" i="1"/>
  <c r="R175" i="1"/>
  <c r="R114" i="1"/>
  <c r="R34" i="1"/>
  <c r="P199" i="1"/>
  <c r="P41" i="1"/>
  <c r="P84" i="1"/>
  <c r="P132" i="1"/>
  <c r="P6" i="1"/>
  <c r="P200" i="1"/>
  <c r="P92" i="1"/>
  <c r="P125" i="1"/>
  <c r="P25" i="1"/>
  <c r="P206" i="1"/>
  <c r="P149" i="1"/>
  <c r="P158" i="1"/>
  <c r="P150" i="1"/>
  <c r="P120" i="1"/>
  <c r="P80" i="1"/>
  <c r="P101" i="1"/>
  <c r="P159" i="1"/>
  <c r="P160" i="1"/>
  <c r="P121" i="1"/>
  <c r="P213" i="1"/>
  <c r="P214" i="1"/>
  <c r="P12" i="1"/>
  <c r="P197" i="1"/>
  <c r="P23" i="1"/>
  <c r="P3" i="1"/>
  <c r="P81" i="1"/>
  <c r="P16" i="1"/>
  <c r="P122" i="1"/>
  <c r="P96" i="1"/>
  <c r="P79" i="1"/>
  <c r="P211" i="1"/>
  <c r="P140" i="1"/>
  <c r="P212" i="1"/>
  <c r="P36" i="1"/>
  <c r="P119" i="1"/>
  <c r="P107" i="1"/>
  <c r="P141" i="1"/>
  <c r="P178" i="1"/>
  <c r="P208" i="1"/>
  <c r="P21" i="1"/>
  <c r="P161" i="1"/>
  <c r="P135" i="1"/>
  <c r="P146" i="1"/>
  <c r="P13" i="1"/>
  <c r="P29" i="1"/>
  <c r="P179" i="1"/>
  <c r="P123" i="1"/>
  <c r="P74" i="1"/>
  <c r="P142" i="1"/>
  <c r="P136" i="1"/>
  <c r="P137" i="1"/>
  <c r="P126" i="1"/>
  <c r="P106" i="1"/>
  <c r="P40" i="1"/>
  <c r="P75" i="1"/>
  <c r="P108" i="1"/>
  <c r="P124" i="1"/>
  <c r="P63" i="1"/>
  <c r="P93" i="1"/>
  <c r="P184" i="1"/>
  <c r="P162" i="1"/>
  <c r="P154" i="1"/>
  <c r="P173" i="1"/>
  <c r="P118" i="1"/>
  <c r="P156" i="1"/>
  <c r="P28" i="1"/>
  <c r="P116" i="1"/>
  <c r="P117" i="1"/>
  <c r="P71" i="1"/>
  <c r="P110" i="1"/>
  <c r="P30" i="1"/>
  <c r="P14" i="1"/>
  <c r="P10" i="1"/>
  <c r="P43" i="1"/>
  <c r="P50" i="1"/>
  <c r="P94" i="1"/>
  <c r="P157" i="1"/>
  <c r="P115" i="1"/>
  <c r="P42" i="1"/>
  <c r="P85" i="1"/>
  <c r="P127" i="1"/>
  <c r="P44" i="1"/>
  <c r="P59" i="1"/>
  <c r="P51" i="1"/>
  <c r="P201" i="1"/>
  <c r="P73" i="1"/>
  <c r="P128" i="1"/>
  <c r="P86" i="1"/>
  <c r="P180" i="1"/>
  <c r="P151" i="1"/>
  <c r="P24" i="1"/>
  <c r="P129" i="1"/>
  <c r="P102" i="1"/>
  <c r="P103" i="1"/>
  <c r="P207" i="1"/>
  <c r="P11" i="1"/>
  <c r="P133" i="1"/>
  <c r="P18" i="1"/>
  <c r="P111" i="1"/>
  <c r="P215" i="1"/>
  <c r="P190" i="1"/>
  <c r="P76" i="1"/>
  <c r="P185" i="1"/>
  <c r="P47" i="1"/>
  <c r="P202" i="1"/>
  <c r="P48" i="1"/>
  <c r="P109" i="1"/>
  <c r="P64" i="1"/>
  <c r="P52" i="1"/>
  <c r="P45" i="1"/>
  <c r="P186" i="1"/>
  <c r="P163" i="1"/>
  <c r="P181" i="1"/>
  <c r="P100" i="1"/>
  <c r="P209" i="1"/>
  <c r="P31" i="1"/>
  <c r="P7" i="1"/>
  <c r="P65" i="1"/>
  <c r="P4" i="1"/>
  <c r="P58" i="1"/>
  <c r="P97" i="1"/>
  <c r="P195" i="1"/>
  <c r="P62" i="1"/>
  <c r="P164" i="1"/>
  <c r="P143" i="1"/>
  <c r="P87" i="1"/>
  <c r="P112" i="1"/>
  <c r="P198" i="1"/>
  <c r="P61" i="1"/>
  <c r="P27" i="1"/>
  <c r="P53" i="1"/>
  <c r="P66" i="1"/>
  <c r="P91" i="1"/>
  <c r="P138" i="1"/>
  <c r="P17" i="1"/>
  <c r="P196" i="1"/>
  <c r="P77" i="1"/>
  <c r="P192" i="1"/>
  <c r="P8" i="1"/>
  <c r="P182" i="1"/>
  <c r="P193" i="1"/>
  <c r="P165" i="1"/>
  <c r="P166" i="1"/>
  <c r="P32" i="1"/>
  <c r="P167" i="1"/>
  <c r="P104" i="1"/>
  <c r="P49" i="1"/>
  <c r="P56" i="1"/>
  <c r="P187" i="1"/>
  <c r="P139" i="1"/>
  <c r="P194" i="1"/>
  <c r="P57" i="1"/>
  <c r="P2" i="1"/>
  <c r="P46" i="1"/>
  <c r="P113" i="1"/>
  <c r="P191" i="1"/>
  <c r="P67" i="1"/>
  <c r="P19" i="1"/>
  <c r="P168" i="1"/>
  <c r="P152" i="1"/>
  <c r="P88" i="1"/>
  <c r="P183" i="1"/>
  <c r="P83" i="1"/>
  <c r="P89" i="1"/>
  <c r="P210" i="1"/>
  <c r="P68" i="1"/>
  <c r="P147" i="1"/>
  <c r="P176" i="1"/>
  <c r="P169" i="1"/>
  <c r="P205" i="1"/>
  <c r="P177" i="1"/>
  <c r="P145" i="1"/>
  <c r="P54" i="1"/>
  <c r="P130" i="1"/>
  <c r="P144" i="1"/>
  <c r="P39" i="1"/>
  <c r="P203" i="1"/>
  <c r="P33" i="1"/>
  <c r="P98" i="1"/>
  <c r="P82" i="1"/>
  <c r="P188" i="1"/>
  <c r="P148" i="1"/>
  <c r="P90" i="1"/>
  <c r="P170" i="1"/>
  <c r="P171" i="1"/>
  <c r="P60" i="1"/>
  <c r="P204" i="1"/>
  <c r="P15" i="1"/>
  <c r="P189" i="1"/>
  <c r="P9" i="1"/>
  <c r="P216" i="1"/>
  <c r="P105" i="1"/>
  <c r="P20" i="1"/>
  <c r="P69" i="1"/>
  <c r="P174" i="1"/>
  <c r="P55" i="1"/>
  <c r="P78" i="1"/>
  <c r="P172" i="1"/>
  <c r="P37" i="1"/>
  <c r="P99" i="1"/>
  <c r="P38" i="1"/>
  <c r="P72" i="1"/>
  <c r="P155" i="1"/>
  <c r="P134" i="1"/>
  <c r="P70" i="1"/>
  <c r="P153" i="1"/>
  <c r="P5" i="1"/>
  <c r="P35" i="1"/>
  <c r="P22" i="1"/>
  <c r="P131" i="1"/>
  <c r="P26" i="1"/>
  <c r="P95" i="1"/>
  <c r="P175" i="1"/>
  <c r="P114" i="1"/>
  <c r="P34" i="1"/>
  <c r="B13" i="2"/>
  <c r="C2" i="2"/>
  <c r="B2" i="2"/>
  <c r="B9" i="2"/>
  <c r="B10" i="2" s="1"/>
  <c r="C9" i="2"/>
  <c r="C10" i="2" s="1"/>
  <c r="A9" i="2"/>
  <c r="B7" i="2"/>
  <c r="B5" i="2"/>
  <c r="B3" i="2"/>
</calcChain>
</file>

<file path=xl/sharedStrings.xml><?xml version="1.0" encoding="utf-8"?>
<sst xmlns="http://schemas.openxmlformats.org/spreadsheetml/2006/main" count="1783" uniqueCount="64">
  <si>
    <t>Others</t>
  </si>
  <si>
    <t>Commerce</t>
  </si>
  <si>
    <t>Sci&amp;Tech</t>
  </si>
  <si>
    <t>No</t>
  </si>
  <si>
    <t>Mkt&amp;HR</t>
  </si>
  <si>
    <t>Placed</t>
  </si>
  <si>
    <t>Central</t>
  </si>
  <si>
    <t>Science</t>
  </si>
  <si>
    <t>Yes</t>
  </si>
  <si>
    <t>Mkt&amp;Fin</t>
  </si>
  <si>
    <t>Arts</t>
  </si>
  <si>
    <t>Comm&amp;Mgmt</t>
  </si>
  <si>
    <t>Not Placed</t>
  </si>
  <si>
    <t>Sl_No</t>
  </si>
  <si>
    <t>Degree_P</t>
  </si>
  <si>
    <t>Ssc_P</t>
  </si>
  <si>
    <t>Ssc_B</t>
  </si>
  <si>
    <t>Hsc_P</t>
  </si>
  <si>
    <t>Hsc_B</t>
  </si>
  <si>
    <t>Hsc_S</t>
  </si>
  <si>
    <t>Degree_T</t>
  </si>
  <si>
    <t>Workex</t>
  </si>
  <si>
    <t>Etest_P</t>
  </si>
  <si>
    <t>Specialisation</t>
  </si>
  <si>
    <t>Mba_P</t>
  </si>
  <si>
    <t>Status</t>
  </si>
  <si>
    <t xml:space="preserve">Adjusted Salary </t>
  </si>
  <si>
    <t>Grade</t>
  </si>
  <si>
    <t xml:space="preserve">Gender </t>
  </si>
  <si>
    <t>Male</t>
  </si>
  <si>
    <t>Female</t>
  </si>
  <si>
    <t>Total number of students placed in "Mkt&amp;HR" vs "Mkt&amp;Fin".</t>
  </si>
  <si>
    <t xml:space="preserve">Average salary for people having 
work experience </t>
  </si>
  <si>
    <t>How many males scored more then
80% in ssc and hsc</t>
  </si>
  <si>
    <r>
      <t xml:space="preserve">The total salary paid to students 
from the "Central" </t>
    </r>
    <r>
      <rPr>
        <sz val="10"/>
        <color theme="1"/>
        <rFont val="Arial Unicode MS"/>
      </rPr>
      <t>hsc_b</t>
    </r>
    <r>
      <rPr>
        <sz val="13"/>
        <color theme="1"/>
        <rFont val="Times New Roman"/>
        <family val="2"/>
      </rPr>
      <t xml:space="preserve"> 
who are currently "Placed"</t>
    </r>
  </si>
  <si>
    <t>Max Salary per department</t>
  </si>
  <si>
    <t>Row Labels</t>
  </si>
  <si>
    <t>Grand Total</t>
  </si>
  <si>
    <t>Column Labels</t>
  </si>
  <si>
    <t>Count of Status</t>
  </si>
  <si>
    <t>Count of Hsc_S</t>
  </si>
  <si>
    <t>Priority</t>
  </si>
  <si>
    <t>Salary with potential Sign-up Bonus</t>
  </si>
  <si>
    <t>Phase 1: Data Preparation &amp; Cleaning</t>
  </si>
  <si>
    <r>
      <t>1. Salary Cleanup:</t>
    </r>
    <r>
      <rPr>
        <sz val="13"/>
        <color theme="1"/>
        <rFont val="Times New Roman"/>
        <family val="2"/>
      </rPr>
      <t xml:space="preserve"> Create a new column "Adjusted Salary" that shows the salary value, but if the status is "Not Placed", it must show 0 instead of a blank or error.</t>
    </r>
  </si>
  <si>
    <r>
      <t>2. Candidate Categorization:</t>
    </r>
    <r>
      <rPr>
        <sz val="13"/>
        <color theme="1"/>
        <rFont val="Times New Roman"/>
        <family val="2"/>
      </rPr>
      <t xml:space="preserve"> Create a "Grade" column. If </t>
    </r>
    <r>
      <rPr>
        <sz val="10"/>
        <color theme="1"/>
        <rFont val="Arial Unicode MS"/>
      </rPr>
      <t>mba_p</t>
    </r>
    <r>
      <rPr>
        <sz val="13"/>
        <color theme="1"/>
        <rFont val="Times New Roman"/>
        <family val="2"/>
      </rPr>
      <t xml:space="preserve"> is above 75, label it "Distinction"; if between 60 and 75, "First Class"; otherwise, "Pass".</t>
    </r>
  </si>
  <si>
    <r>
      <t>3. Gender Formatting:</t>
    </r>
    <r>
      <rPr>
        <sz val="13"/>
        <color theme="1"/>
        <rFont val="Times New Roman"/>
        <family val="2"/>
      </rPr>
      <t xml:space="preserve"> Create a helper column that converts "M" to "Male" and "F" to "Female" using a single formula.</t>
    </r>
  </si>
  <si>
    <t>Phase 2: Summary Analytics (Aggregation)</t>
  </si>
  <si>
    <r>
      <t>4. Specialization Report:</t>
    </r>
    <r>
      <rPr>
        <sz val="13"/>
        <color theme="1"/>
        <rFont val="Times New Roman"/>
        <family val="2"/>
      </rPr>
      <t xml:space="preserve"> Calculate the total number of students placed in "Mkt&amp;HR" vs "Mkt&amp;Fin".</t>
    </r>
  </si>
  <si>
    <r>
      <t>5. Salary Benchmarking:</t>
    </r>
    <r>
      <rPr>
        <sz val="13"/>
        <color theme="1"/>
        <rFont val="Times New Roman"/>
        <family val="2"/>
      </rPr>
      <t xml:space="preserve"> Find the average salary offered specifically to students who had prior "Workex" (Work Experience).</t>
    </r>
  </si>
  <si>
    <r>
      <t>6. High-Performer Count:</t>
    </r>
    <r>
      <rPr>
        <sz val="13"/>
        <color theme="1"/>
        <rFont val="Times New Roman"/>
        <family val="2"/>
      </rPr>
      <t xml:space="preserve"> Count how many Male students scored above 80% in both </t>
    </r>
    <r>
      <rPr>
        <sz val="10"/>
        <color theme="1"/>
        <rFont val="Arial Unicode MS"/>
      </rPr>
      <t>ssc_p</t>
    </r>
    <r>
      <rPr>
        <sz val="13"/>
        <color theme="1"/>
        <rFont val="Times New Roman"/>
        <family val="2"/>
      </rPr>
      <t xml:space="preserve"> and </t>
    </r>
    <r>
      <rPr>
        <sz val="10"/>
        <color theme="1"/>
        <rFont val="Arial Unicode MS"/>
      </rPr>
      <t>hsc_p</t>
    </r>
    <r>
      <rPr>
        <sz val="13"/>
        <color theme="1"/>
        <rFont val="Times New Roman"/>
        <family val="2"/>
      </rPr>
      <t>.</t>
    </r>
  </si>
  <si>
    <r>
      <t>7. Regional Analysis:</t>
    </r>
    <r>
      <rPr>
        <sz val="13"/>
        <color theme="1"/>
        <rFont val="Times New Roman"/>
        <family val="2"/>
      </rPr>
      <t xml:space="preserve"> Calculate the total salary paid to students from the "Central" </t>
    </r>
    <r>
      <rPr>
        <sz val="10"/>
        <color theme="1"/>
        <rFont val="Arial Unicode MS"/>
      </rPr>
      <t>hsc_b</t>
    </r>
    <r>
      <rPr>
        <sz val="13"/>
        <color theme="1"/>
        <rFont val="Times New Roman"/>
        <family val="2"/>
      </rPr>
      <t xml:space="preserve"> (Board of Education) who are currently "Placed".</t>
    </r>
  </si>
  <si>
    <t>Phase 3: Search &amp; Data Tools</t>
  </si>
  <si>
    <r>
      <t>8. Student Lookup:</t>
    </r>
    <r>
      <rPr>
        <sz val="13"/>
        <color theme="1"/>
        <rFont val="Times New Roman"/>
        <family val="2"/>
      </rPr>
      <t xml:space="preserve"> Create a search cell where you enter a </t>
    </r>
    <r>
      <rPr>
        <sz val="10"/>
        <color theme="1"/>
        <rFont val="Arial Unicode MS"/>
      </rPr>
      <t>sl_no</t>
    </r>
    <r>
      <rPr>
        <sz val="13"/>
        <color theme="1"/>
        <rFont val="Times New Roman"/>
        <family val="2"/>
      </rPr>
      <t xml:space="preserve"> and it returns the student's </t>
    </r>
    <r>
      <rPr>
        <sz val="10"/>
        <color theme="1"/>
        <rFont val="Arial Unicode MS"/>
      </rPr>
      <t>degree_t</t>
    </r>
    <r>
      <rPr>
        <sz val="13"/>
        <color theme="1"/>
        <rFont val="Times New Roman"/>
        <family val="2"/>
      </rPr>
      <t xml:space="preserve"> and </t>
    </r>
    <r>
      <rPr>
        <sz val="10"/>
        <color theme="1"/>
        <rFont val="Arial Unicode MS"/>
      </rPr>
      <t>status</t>
    </r>
    <r>
      <rPr>
        <sz val="13"/>
        <color theme="1"/>
        <rFont val="Times New Roman"/>
        <family val="2"/>
      </rPr>
      <t>.</t>
    </r>
  </si>
  <si>
    <r>
      <t>9. Data Validation:</t>
    </r>
    <r>
      <rPr>
        <sz val="13"/>
        <color theme="1"/>
        <rFont val="Times New Roman"/>
        <family val="2"/>
      </rPr>
      <t xml:space="preserve"> Create a dropdown menu containing the unique values of </t>
    </r>
    <r>
      <rPr>
        <sz val="10"/>
        <color theme="1"/>
        <rFont val="Arial Unicode MS"/>
      </rPr>
      <t>specialisation</t>
    </r>
    <r>
      <rPr>
        <sz val="13"/>
        <color theme="1"/>
        <rFont val="Times New Roman"/>
        <family val="2"/>
      </rPr>
      <t>.</t>
    </r>
  </si>
  <si>
    <r>
      <t>10. Dependent Calculations:</t>
    </r>
    <r>
      <rPr>
        <sz val="13"/>
        <color theme="1"/>
        <rFont val="Times New Roman"/>
        <family val="2"/>
      </rPr>
      <t xml:space="preserve"> Link the dropdown from task 9 to a cell that automatically shows the "Highest Salary" for the selected specialization.</t>
    </r>
  </si>
  <si>
    <t>Phase 4: Visuals &amp; Conditional Formatting</t>
  </si>
  <si>
    <r>
      <t>11. Status Highlighting:</t>
    </r>
    <r>
      <rPr>
        <sz val="13"/>
        <color theme="1"/>
        <rFont val="Times New Roman"/>
        <family val="2"/>
      </rPr>
      <t xml:space="preserve"> Automatically turn the background of the "Status" cell Green for "Placed" and Red for "Not Placed".</t>
    </r>
  </si>
  <si>
    <r>
      <t>12. Outlier Detection:</t>
    </r>
    <r>
      <rPr>
        <sz val="13"/>
        <color theme="1"/>
        <rFont val="Times New Roman"/>
        <family val="2"/>
      </rPr>
      <t xml:space="preserve"> Apply a rule to highlight any salary that is in the top 10% of the entire dataset.</t>
    </r>
  </si>
  <si>
    <r>
      <t>13. Trend Visualization:</t>
    </r>
    <r>
      <rPr>
        <sz val="13"/>
        <color theme="1"/>
        <rFont val="Times New Roman"/>
        <family val="2"/>
      </rPr>
      <t xml:space="preserve"> Create a Pivot Table and a corresponding Bar Chart showing the count of "Placed" vs "Not Placed" students across different </t>
    </r>
    <r>
      <rPr>
        <sz val="10"/>
        <color theme="1"/>
        <rFont val="Arial Unicode MS"/>
      </rPr>
      <t>degree_t</t>
    </r>
    <r>
      <rPr>
        <sz val="13"/>
        <color theme="1"/>
        <rFont val="Times New Roman"/>
        <family val="2"/>
      </rPr>
      <t xml:space="preserve"> (Degree Types).</t>
    </r>
  </si>
  <si>
    <r>
      <t>14. Comparison Chart:</t>
    </r>
    <r>
      <rPr>
        <sz val="13"/>
        <color theme="1"/>
        <rFont val="Times New Roman"/>
        <family val="2"/>
      </rPr>
      <t xml:space="preserve"> Build a Pie Chart showing the distribution of students across the three </t>
    </r>
    <r>
      <rPr>
        <sz val="10"/>
        <color theme="1"/>
        <rFont val="Arial Unicode MS"/>
      </rPr>
      <t>hsc_s</t>
    </r>
    <r>
      <rPr>
        <sz val="13"/>
        <color theme="1"/>
        <rFont val="Times New Roman"/>
        <family val="2"/>
      </rPr>
      <t xml:space="preserve"> (Higher Secondary Streams).</t>
    </r>
  </si>
  <si>
    <t>Phase 5: Advanced Logic</t>
  </si>
  <si>
    <r>
      <t>15. Placement Probability:</t>
    </r>
    <r>
      <rPr>
        <sz val="13"/>
        <color theme="1"/>
        <rFont val="Times New Roman"/>
        <family val="2"/>
      </rPr>
      <t xml:space="preserve"> Create a formula that returns "High Priority" if a student has </t>
    </r>
    <r>
      <rPr>
        <sz val="10"/>
        <color theme="1"/>
        <rFont val="Arial Unicode MS"/>
      </rPr>
      <t>workex</t>
    </r>
    <r>
      <rPr>
        <sz val="13"/>
        <color theme="1"/>
        <rFont val="Times New Roman"/>
        <family val="2"/>
      </rPr>
      <t xml:space="preserve"> = "Yes" AND a </t>
    </r>
    <r>
      <rPr>
        <sz val="10"/>
        <color theme="1"/>
        <rFont val="Arial Unicode MS"/>
      </rPr>
      <t>degree_p</t>
    </r>
    <r>
      <rPr>
        <sz val="13"/>
        <color theme="1"/>
        <rFont val="Times New Roman"/>
        <family val="2"/>
      </rPr>
      <t xml:space="preserve"> &gt; 70, otherwise "Standard".</t>
    </r>
  </si>
  <si>
    <r>
      <t>16. Bonus Calculation:</t>
    </r>
    <r>
      <rPr>
        <sz val="13"/>
        <color theme="1"/>
        <rFont val="Times New Roman"/>
        <family val="2"/>
      </rPr>
      <t xml:space="preserve"> If a student's </t>
    </r>
    <r>
      <rPr>
        <sz val="10"/>
        <color theme="1"/>
        <rFont val="Arial Unicode MS"/>
      </rPr>
      <t>etest_p</t>
    </r>
    <r>
      <rPr>
        <sz val="13"/>
        <color theme="1"/>
        <rFont val="Times New Roman"/>
        <family val="2"/>
      </rPr>
      <t xml:space="preserve"> is greater than 90, calculate a potential 5% "Sign-on Bonus" based on their salary; otherwise, the bonus is 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</si>
</sst>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\ &quot;%&quot;"/>
    <numFmt numFmtId="165" formatCode="&quot;₹&quot;\ #,##0"/>
  </numFmts>
  <fonts count="20">
    <font>
      <sz val="13"/>
      <color theme="1"/>
      <name val="Times New Roman"/>
      <family val="2"/>
    </font>
    <font>
      <sz val="13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3"/>
      <color rgb="FF006100"/>
      <name val="Times New Roman"/>
      <family val="2"/>
    </font>
    <font>
      <sz val="13"/>
      <color rgb="FF9C0006"/>
      <name val="Times New Roman"/>
      <family val="2"/>
    </font>
    <font>
      <sz val="13"/>
      <color rgb="FF9C5700"/>
      <name val="Times New Roman"/>
      <family val="2"/>
    </font>
    <font>
      <sz val="13"/>
      <color rgb="FF3F3F76"/>
      <name val="Times New Roman"/>
      <family val="2"/>
    </font>
    <font>
      <b/>
      <sz val="13"/>
      <color rgb="FF3F3F3F"/>
      <name val="Times New Roman"/>
      <family val="2"/>
    </font>
    <font>
      <b/>
      <sz val="13"/>
      <color rgb="FFFA7D00"/>
      <name val="Times New Roman"/>
      <family val="2"/>
    </font>
    <font>
      <sz val="13"/>
      <color rgb="FFFA7D00"/>
      <name val="Times New Roman"/>
      <family val="2"/>
    </font>
    <font>
      <b/>
      <sz val="13"/>
      <color theme="0"/>
      <name val="Times New Roman"/>
      <family val="2"/>
    </font>
    <font>
      <sz val="13"/>
      <color rgb="FFFF0000"/>
      <name val="Times New Roman"/>
      <family val="2"/>
    </font>
    <font>
      <i/>
      <sz val="13"/>
      <color rgb="FF7F7F7F"/>
      <name val="Times New Roman"/>
      <family val="2"/>
    </font>
    <font>
      <b/>
      <sz val="13"/>
      <color theme="1"/>
      <name val="Times New Roman"/>
      <family val="2"/>
    </font>
    <font>
      <sz val="13"/>
      <color theme="0"/>
      <name val="Times New Roman"/>
      <family val="2"/>
    </font>
    <font>
      <sz val="10"/>
      <color theme="1"/>
      <name val="Arial Unicode MS"/>
    </font>
    <font>
      <b/>
      <sz val="13.5"/>
      <color theme="1"/>
      <name val="Times New Roman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165" fontId="0" fillId="0" borderId="0" xfId="0" applyNumberFormat="1"/>
    <xf numFmtId="0" fontId="0" fillId="0" borderId="0" xfId="0" applyAlignment="1">
      <alignment wrapText="1"/>
    </xf>
    <xf numFmtId="0" fontId="0" fillId="34" borderId="10" xfId="0" applyFill="1" applyBorder="1"/>
    <xf numFmtId="164" fontId="0" fillId="34" borderId="10" xfId="0" applyNumberFormat="1" applyFill="1" applyBorder="1"/>
    <xf numFmtId="164" fontId="0" fillId="34" borderId="10" xfId="1" applyNumberFormat="1" applyFont="1" applyFill="1" applyBorder="1"/>
    <xf numFmtId="0" fontId="0" fillId="0" borderId="10" xfId="0" applyBorder="1"/>
    <xf numFmtId="164" fontId="0" fillId="0" borderId="10" xfId="0" applyNumberFormat="1" applyBorder="1"/>
    <xf numFmtId="164" fontId="0" fillId="0" borderId="10" xfId="1" applyNumberFormat="1" applyFont="1" applyBorder="1"/>
    <xf numFmtId="165" fontId="0" fillId="34" borderId="10" xfId="0" applyNumberFormat="1" applyFill="1" applyBorder="1"/>
    <xf numFmtId="165" fontId="0" fillId="0" borderId="10" xfId="0" applyNumberFormat="1" applyBorder="1"/>
    <xf numFmtId="0" fontId="13" fillId="33" borderId="0" xfId="0" applyFont="1" applyFill="1"/>
    <xf numFmtId="165" fontId="13" fillId="33" borderId="0" xfId="0" applyNumberFormat="1" applyFont="1" applyFill="1"/>
    <xf numFmtId="0" fontId="0" fillId="0" borderId="11" xfId="0" applyBorder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4" borderId="0" xfId="0" applyFill="1"/>
    <xf numFmtId="0" fontId="0" fillId="0" borderId="12" xfId="0" applyBorder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6" fillId="0" borderId="0" xfId="0" applyFont="1" applyAlignment="1">
      <alignment horizontal="left" vertical="center" inden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color theme="0"/>
      </font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5" formatCode="&quot;₹&quot;\ #,##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5" formatCode="&quot;₹&quot;\ #,##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numFmt numFmtId="164" formatCode="General\ &quot;%&quot;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Times New Roman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0"/>
        <name val="Times New Roman"/>
        <family val="2"/>
        <scheme val="none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[Placement_Data_Full_Class for portfolio.xlsx]Placement_asper_department!Placement_asper_department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Placement_asper_department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Placement_asper_department!$B$3:$B$4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Placement_asper_department!$A$5:$A$8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Placement_asper_department!$B$5:$B$8</c:f>
              <c:numCache>
                <c:formatCode>General</c:formatCode>
                <c:ptCount val="3"/>
                <c:pt idx="0">
                  <c:v>5</c:v>
                </c:pt>
                <c:pt idx="1">
                  <c:v>34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A-42A5-94D0-FDC29E43AFEC}"/>
            </c:ext>
          </c:extLst>
        </c:ser>
        <c:ser>
          <c:idx val="1"/>
          <c:order val="1"/>
          <c:tx>
            <c:strRef>
              <c:f>Placement_asper_department!$C$3:$C$4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Placement_asper_department!$A$5:$A$8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Placement_asper_department!$C$5:$C$8</c:f>
              <c:numCache>
                <c:formatCode>General</c:formatCode>
                <c:ptCount val="3"/>
                <c:pt idx="0">
                  <c:v>6</c:v>
                </c:pt>
                <c:pt idx="1">
                  <c:v>79</c:v>
                </c:pt>
                <c:pt idx="2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CA-42A5-94D0-FDC29E43AF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98374943"/>
        <c:axId val="698372543"/>
      </c:barChart>
      <c:catAx>
        <c:axId val="698374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372543"/>
        <c:crosses val="autoZero"/>
        <c:auto val="1"/>
        <c:lblAlgn val="ctr"/>
        <c:lblOffset val="100"/>
        <c:noMultiLvlLbl val="0"/>
      </c:catAx>
      <c:valAx>
        <c:axId val="6983725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8374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[Placement_Data_Full_Class for portfolio.xlsx]Number_Of_student_per_departmen!Number_Of_student_per_department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Number</a:t>
            </a:r>
            <a:r>
              <a:rPr lang="en-US" baseline="0"/>
              <a:t>_Of_student_per_department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0.1481481481481482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0555555555555558"/>
              <c:y val="-1.8518518518518517E-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>
              <a:lumMod val="20000"/>
              <a:lumOff val="8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3.7632696390658173E-2"/>
              <c:y val="-0.13454300937285055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4">
              <a:lumMod val="20000"/>
              <a:lumOff val="8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3.7632696390658173E-2"/>
              <c:y val="-0.13454300937285055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4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0.1481481481481482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0555555555555558"/>
              <c:y val="-1.8518518518518517E-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4">
              <a:lumMod val="20000"/>
              <a:lumOff val="8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3.7632696390658173E-2"/>
              <c:y val="-0.13454300937285055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4">
              <a:lumMod val="5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0.11388888888888889"/>
              <c:y val="0.1481481481481482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1"/>
        <c:spPr>
          <a:solidFill>
            <a:schemeClr val="accent4">
              <a:lumMod val="40000"/>
              <a:lumOff val="60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-0.10555555555555558"/>
              <c:y val="-1.8518518518518517E-2"/>
            </c:manualLayout>
          </c:layout>
          <c:spPr>
            <a:solidFill>
              <a:srgbClr val="196B24">
                <a:lumMod val="40000"/>
                <a:lumOff val="60000"/>
                <a:alpha val="50000"/>
              </a:srgbClr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Number_Of_student_per_departmen!$B$3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396-46A9-ABE8-54A279C2260E}"/>
              </c:ext>
            </c:extLst>
          </c:dPt>
          <c:dPt>
            <c:idx val="1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396-46A9-ABE8-54A279C2260E}"/>
              </c:ext>
            </c:extLst>
          </c:dPt>
          <c:dPt>
            <c:idx val="2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396-46A9-ABE8-54A279C2260E}"/>
              </c:ext>
            </c:extLst>
          </c:dPt>
          <c:dLbls>
            <c:dLbl>
              <c:idx val="0"/>
              <c:layout>
                <c:manualLayout>
                  <c:x val="-3.7632696390658173E-2"/>
                  <c:y val="-0.1345430093728505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96-46A9-ABE8-54A279C2260E}"/>
                </c:ext>
              </c:extLst>
            </c:dLbl>
            <c:dLbl>
              <c:idx val="1"/>
              <c:layout>
                <c:manualLayout>
                  <c:x val="0.11388888888888889"/>
                  <c:y val="0.1481481481481482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96-46A9-ABE8-54A279C2260E}"/>
                </c:ext>
              </c:extLst>
            </c:dLbl>
            <c:dLbl>
              <c:idx val="2"/>
              <c:layout>
                <c:manualLayout>
                  <c:x val="-0.10555555555555558"/>
                  <c:y val="-1.851851851851851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396-46A9-ABE8-54A279C2260E}"/>
                </c:ext>
              </c:extLst>
            </c:dLbl>
            <c:spPr>
              <a:solidFill>
                <a:srgbClr val="196B24">
                  <a:lumMod val="40000"/>
                  <a:lumOff val="60000"/>
                  <a:alpha val="50000"/>
                </a:srgbClr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Number_Of_student_per_departmen!$A$4:$A$7</c:f>
              <c:strCache>
                <c:ptCount val="3"/>
                <c:pt idx="0">
                  <c:v>Arts</c:v>
                </c:pt>
                <c:pt idx="1">
                  <c:v>Commerce</c:v>
                </c:pt>
                <c:pt idx="2">
                  <c:v>Science</c:v>
                </c:pt>
              </c:strCache>
            </c:strRef>
          </c:cat>
          <c:val>
            <c:numRef>
              <c:f>Number_Of_student_per_departmen!$B$4:$B$7</c:f>
              <c:numCache>
                <c:formatCode>General</c:formatCode>
                <c:ptCount val="3"/>
                <c:pt idx="0">
                  <c:v>11</c:v>
                </c:pt>
                <c:pt idx="1">
                  <c:v>113</c:v>
                </c:pt>
                <c:pt idx="2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396-46A9-ABE8-54A279C22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68580</xdr:rowOff>
    </xdr:from>
    <xdr:to>
      <xdr:col>10</xdr:col>
      <xdr:colOff>441960</xdr:colOff>
      <xdr:row>7</xdr:row>
      <xdr:rowOff>22860</xdr:rowOff>
    </xdr:to>
    <xdr:graphicFrame macro="">
      <xdr:nvGraphicFramePr>
        <xdr:cNvPr id="2" name="Placement_asper_department">
          <a:extLst>
            <a:ext uri="{FF2B5EF4-FFF2-40B4-BE49-F238E27FC236}">
              <a16:creationId xmlns:a16="http://schemas.microsoft.com/office/drawing/2014/main" id="{F023C229-7C91-4EE5-9D60-745387F4E5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640080</xdr:colOff>
      <xdr:row>7</xdr:row>
      <xdr:rowOff>190500</xdr:rowOff>
    </xdr:from>
    <xdr:to>
      <xdr:col>10</xdr:col>
      <xdr:colOff>472440</xdr:colOff>
      <xdr:row>21</xdr:row>
      <xdr:rowOff>148590</xdr:rowOff>
    </xdr:to>
    <xdr:graphicFrame macro="">
      <xdr:nvGraphicFramePr>
        <xdr:cNvPr id="3" name="Chart 1Number_Of_student_per_department">
          <a:extLst>
            <a:ext uri="{FF2B5EF4-FFF2-40B4-BE49-F238E27FC236}">
              <a16:creationId xmlns:a16="http://schemas.microsoft.com/office/drawing/2014/main" id="{9ECABED7-B928-4A2F-A95A-2EB432B37B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ay tirthani" refreshedDate="46088.050872916669" createdVersion="8" refreshedVersion="8" minRefreshableVersion="3" recordCount="215" xr:uid="{C9FD9744-68A8-4F74-9115-D0121A35A1F5}">
  <cacheSource type="worksheet">
    <worksheetSource name="Table2"/>
  </cacheSource>
  <cacheFields count="17">
    <cacheField name="Sl_No" numFmtId="0">
      <sharedItems containsSemiMixedTypes="0" containsString="0" containsNumber="1" containsInteger="1" minValue="1" maxValue="215"/>
    </cacheField>
    <cacheField name="Gender " numFmtId="0">
      <sharedItems/>
    </cacheField>
    <cacheField name="Ssc_P" numFmtId="164">
      <sharedItems containsSemiMixedTypes="0" containsString="0" containsNumber="1" minValue="40.89" maxValue="89.4"/>
    </cacheField>
    <cacheField name="Ssc_B" numFmtId="0">
      <sharedItems/>
    </cacheField>
    <cacheField name="Hsc_P" numFmtId="164">
      <sharedItems containsSemiMixedTypes="0" containsString="0" containsNumber="1" minValue="37" maxValue="97.7"/>
    </cacheField>
    <cacheField name="Hsc_B" numFmtId="0">
      <sharedItems/>
    </cacheField>
    <cacheField name="Hsc_S" numFmtId="0">
      <sharedItems count="3">
        <s v="Commerce"/>
        <s v="Science"/>
        <s v="Arts"/>
      </sharedItems>
    </cacheField>
    <cacheField name="Degree_P" numFmtId="164">
      <sharedItems containsSemiMixedTypes="0" containsString="0" containsNumber="1" minValue="50" maxValue="91"/>
    </cacheField>
    <cacheField name="Degree_T" numFmtId="0">
      <sharedItems/>
    </cacheField>
    <cacheField name="Workex" numFmtId="0">
      <sharedItems/>
    </cacheField>
    <cacheField name="Etest_P" numFmtId="164">
      <sharedItems containsSemiMixedTypes="0" containsString="0" containsNumber="1" minValue="50" maxValue="98"/>
    </cacheField>
    <cacheField name="Specialisation" numFmtId="0">
      <sharedItems/>
    </cacheField>
    <cacheField name="Mba_P" numFmtId="164">
      <sharedItems containsSemiMixedTypes="0" containsString="0" containsNumber="1" minValue="51.21" maxValue="77.89"/>
    </cacheField>
    <cacheField name="Grade" numFmtId="164">
      <sharedItems/>
    </cacheField>
    <cacheField name="Status" numFmtId="0">
      <sharedItems count="2">
        <s v="Placed"/>
        <s v="Not Placed"/>
      </sharedItems>
    </cacheField>
    <cacheField name="Placement status" numFmtId="0">
      <sharedItems containsSemiMixedTypes="0" containsString="0" containsNumber="1" containsInteger="1" minValue="0" maxValue="1"/>
    </cacheField>
    <cacheField name="Adjusted Salary " numFmtId="165">
      <sharedItems containsSemiMixedTypes="0" containsString="0" containsNumber="1" containsInteger="1" minValue="0" maxValue="94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1"/>
    <s v="Male"/>
    <n v="67"/>
    <s v="Others"/>
    <n v="91"/>
    <s v="Others"/>
    <x v="0"/>
    <n v="58"/>
    <s v="Sci&amp;Tech"/>
    <s v="No"/>
    <n v="55"/>
    <s v="Mkt&amp;HR"/>
    <n v="58.8"/>
    <s v="Pass"/>
    <x v="0"/>
    <n v="1"/>
    <n v="270000"/>
  </r>
  <r>
    <n v="2"/>
    <s v="Male"/>
    <n v="79.33"/>
    <s v="Central"/>
    <n v="78.33"/>
    <s v="Others"/>
    <x v="1"/>
    <n v="77.48"/>
    <s v="Sci&amp;Tech"/>
    <s v="Yes"/>
    <n v="86.5"/>
    <s v="Mkt&amp;Fin"/>
    <n v="66.28"/>
    <s v="First Call"/>
    <x v="0"/>
    <n v="1"/>
    <n v="200000"/>
  </r>
  <r>
    <n v="3"/>
    <s v="Male"/>
    <n v="65"/>
    <s v="Central"/>
    <n v="68"/>
    <s v="Central"/>
    <x v="2"/>
    <n v="64"/>
    <s v="Comm&amp;Mgmt"/>
    <s v="No"/>
    <n v="75"/>
    <s v="Mkt&amp;Fin"/>
    <n v="57.8"/>
    <s v="Pass"/>
    <x v="0"/>
    <n v="1"/>
    <n v="250000"/>
  </r>
  <r>
    <n v="4"/>
    <s v="Male"/>
    <n v="56"/>
    <s v="Central"/>
    <n v="52"/>
    <s v="Central"/>
    <x v="1"/>
    <n v="52"/>
    <s v="Sci&amp;Tech"/>
    <s v="No"/>
    <n v="66"/>
    <s v="Mkt&amp;HR"/>
    <n v="59.43"/>
    <s v="Pass"/>
    <x v="1"/>
    <n v="0"/>
    <n v="0"/>
  </r>
  <r>
    <n v="5"/>
    <s v="Male"/>
    <n v="85.8"/>
    <s v="Central"/>
    <n v="73.599999999999994"/>
    <s v="Central"/>
    <x v="0"/>
    <n v="73.3"/>
    <s v="Comm&amp;Mgmt"/>
    <s v="No"/>
    <n v="96.8"/>
    <s v="Mkt&amp;Fin"/>
    <n v="55.5"/>
    <s v="Pass"/>
    <x v="0"/>
    <n v="1"/>
    <n v="425000"/>
  </r>
  <r>
    <n v="6"/>
    <s v="Male"/>
    <n v="55"/>
    <s v="Others"/>
    <n v="49.8"/>
    <s v="Others"/>
    <x v="1"/>
    <n v="67.25"/>
    <s v="Sci&amp;Tech"/>
    <s v="Yes"/>
    <n v="55"/>
    <s v="Mkt&amp;Fin"/>
    <n v="51.58"/>
    <s v="Pass"/>
    <x v="1"/>
    <n v="0"/>
    <n v="0"/>
  </r>
  <r>
    <n v="7"/>
    <s v="Female"/>
    <n v="46"/>
    <s v="Others"/>
    <n v="49.2"/>
    <s v="Others"/>
    <x v="0"/>
    <n v="79"/>
    <s v="Comm&amp;Mgmt"/>
    <s v="No"/>
    <n v="74.28"/>
    <s v="Mkt&amp;Fin"/>
    <n v="53.29"/>
    <s v="Pass"/>
    <x v="1"/>
    <n v="0"/>
    <n v="0"/>
  </r>
  <r>
    <n v="8"/>
    <s v="Male"/>
    <n v="82"/>
    <s v="Central"/>
    <n v="64"/>
    <s v="Central"/>
    <x v="1"/>
    <n v="66"/>
    <s v="Sci&amp;Tech"/>
    <s v="Yes"/>
    <n v="67"/>
    <s v="Mkt&amp;Fin"/>
    <n v="62.14"/>
    <s v="First Call"/>
    <x v="0"/>
    <n v="1"/>
    <n v="252000"/>
  </r>
  <r>
    <n v="9"/>
    <s v="Male"/>
    <n v="73"/>
    <s v="Central"/>
    <n v="79"/>
    <s v="Central"/>
    <x v="0"/>
    <n v="72"/>
    <s v="Comm&amp;Mgmt"/>
    <s v="No"/>
    <n v="91.34"/>
    <s v="Mkt&amp;Fin"/>
    <n v="61.29"/>
    <s v="First Call"/>
    <x v="0"/>
    <n v="1"/>
    <n v="231000"/>
  </r>
  <r>
    <n v="10"/>
    <s v="Male"/>
    <n v="58"/>
    <s v="Central"/>
    <n v="70"/>
    <s v="Central"/>
    <x v="0"/>
    <n v="61"/>
    <s v="Comm&amp;Mgmt"/>
    <s v="No"/>
    <n v="54"/>
    <s v="Mkt&amp;Fin"/>
    <n v="52.21"/>
    <s v="Pass"/>
    <x v="1"/>
    <n v="0"/>
    <n v="0"/>
  </r>
  <r>
    <n v="11"/>
    <s v="Male"/>
    <n v="58"/>
    <s v="Central"/>
    <n v="61"/>
    <s v="Central"/>
    <x v="0"/>
    <n v="60"/>
    <s v="Comm&amp;Mgmt"/>
    <s v="Yes"/>
    <n v="62"/>
    <s v="Mkt&amp;HR"/>
    <n v="60.85"/>
    <s v="First Call"/>
    <x v="0"/>
    <n v="1"/>
    <n v="260000"/>
  </r>
  <r>
    <n v="12"/>
    <s v="Male"/>
    <n v="69.599999999999994"/>
    <s v="Central"/>
    <n v="68.400000000000006"/>
    <s v="Central"/>
    <x v="0"/>
    <n v="78.3"/>
    <s v="Comm&amp;Mgmt"/>
    <s v="Yes"/>
    <n v="60"/>
    <s v="Mkt&amp;Fin"/>
    <n v="63.7"/>
    <s v="First Call"/>
    <x v="0"/>
    <n v="1"/>
    <n v="250000"/>
  </r>
  <r>
    <n v="13"/>
    <s v="Female"/>
    <n v="47"/>
    <s v="Central"/>
    <n v="55"/>
    <s v="Others"/>
    <x v="1"/>
    <n v="65"/>
    <s v="Comm&amp;Mgmt"/>
    <s v="No"/>
    <n v="62"/>
    <s v="Mkt&amp;HR"/>
    <n v="65.040000000000006"/>
    <s v="First Call"/>
    <x v="1"/>
    <n v="0"/>
    <n v="0"/>
  </r>
  <r>
    <n v="14"/>
    <s v="Female"/>
    <n v="77"/>
    <s v="Central"/>
    <n v="87"/>
    <s v="Central"/>
    <x v="0"/>
    <n v="59"/>
    <s v="Comm&amp;Mgmt"/>
    <s v="No"/>
    <n v="68"/>
    <s v="Mkt&amp;Fin"/>
    <n v="68.63"/>
    <s v="First Call"/>
    <x v="0"/>
    <n v="1"/>
    <n v="218000"/>
  </r>
  <r>
    <n v="15"/>
    <s v="Male"/>
    <n v="62"/>
    <s v="Central"/>
    <n v="47"/>
    <s v="Central"/>
    <x v="0"/>
    <n v="50"/>
    <s v="Comm&amp;Mgmt"/>
    <s v="No"/>
    <n v="76"/>
    <s v="Mkt&amp;HR"/>
    <n v="54.96"/>
    <s v="Pass"/>
    <x v="1"/>
    <n v="0"/>
    <n v="0"/>
  </r>
  <r>
    <n v="16"/>
    <s v="Female"/>
    <n v="65"/>
    <s v="Central"/>
    <n v="75"/>
    <s v="Central"/>
    <x v="0"/>
    <n v="69"/>
    <s v="Comm&amp;Mgmt"/>
    <s v="Yes"/>
    <n v="72"/>
    <s v="Mkt&amp;Fin"/>
    <n v="64.66"/>
    <s v="First Call"/>
    <x v="0"/>
    <n v="1"/>
    <n v="200000"/>
  </r>
  <r>
    <n v="17"/>
    <s v="Male"/>
    <n v="63"/>
    <s v="Central"/>
    <n v="66.2"/>
    <s v="Central"/>
    <x v="0"/>
    <n v="65.599999999999994"/>
    <s v="Comm&amp;Mgmt"/>
    <s v="Yes"/>
    <n v="60"/>
    <s v="Mkt&amp;Fin"/>
    <n v="62.54"/>
    <s v="First Call"/>
    <x v="0"/>
    <n v="1"/>
    <n v="300000"/>
  </r>
  <r>
    <n v="18"/>
    <s v="Female"/>
    <n v="55"/>
    <s v="Central"/>
    <n v="67"/>
    <s v="Central"/>
    <x v="0"/>
    <n v="64"/>
    <s v="Comm&amp;Mgmt"/>
    <s v="No"/>
    <n v="60"/>
    <s v="Mkt&amp;Fin"/>
    <n v="67.28"/>
    <s v="First Call"/>
    <x v="1"/>
    <n v="0"/>
    <n v="0"/>
  </r>
  <r>
    <n v="19"/>
    <s v="Female"/>
    <n v="63"/>
    <s v="Central"/>
    <n v="66"/>
    <s v="Central"/>
    <x v="0"/>
    <n v="64"/>
    <s v="Comm&amp;Mgmt"/>
    <s v="No"/>
    <n v="68"/>
    <s v="Mkt&amp;HR"/>
    <n v="64.08"/>
    <s v="First Call"/>
    <x v="1"/>
    <n v="0"/>
    <n v="0"/>
  </r>
  <r>
    <n v="20"/>
    <s v="Male"/>
    <n v="60"/>
    <s v="Others"/>
    <n v="67"/>
    <s v="Others"/>
    <x v="2"/>
    <n v="70"/>
    <s v="Comm&amp;Mgmt"/>
    <s v="Yes"/>
    <n v="50.48"/>
    <s v="Mkt&amp;Fin"/>
    <n v="77.89"/>
    <s v="Distinction"/>
    <x v="0"/>
    <n v="1"/>
    <n v="236000"/>
  </r>
  <r>
    <n v="21"/>
    <s v="Male"/>
    <n v="62"/>
    <s v="Others"/>
    <n v="65"/>
    <s v="Others"/>
    <x v="0"/>
    <n v="66"/>
    <s v="Comm&amp;Mgmt"/>
    <s v="No"/>
    <n v="50"/>
    <s v="Mkt&amp;HR"/>
    <n v="56.7"/>
    <s v="Pass"/>
    <x v="0"/>
    <n v="1"/>
    <n v="265000"/>
  </r>
  <r>
    <n v="22"/>
    <s v="Female"/>
    <n v="79"/>
    <s v="Others"/>
    <n v="76"/>
    <s v="Others"/>
    <x v="0"/>
    <n v="85"/>
    <s v="Comm&amp;Mgmt"/>
    <s v="No"/>
    <n v="95"/>
    <s v="Mkt&amp;Fin"/>
    <n v="69.06"/>
    <s v="First Call"/>
    <x v="0"/>
    <n v="1"/>
    <n v="393000"/>
  </r>
  <r>
    <n v="23"/>
    <s v="Female"/>
    <n v="69.8"/>
    <s v="Others"/>
    <n v="60.8"/>
    <s v="Others"/>
    <x v="1"/>
    <n v="72.23"/>
    <s v="Sci&amp;Tech"/>
    <s v="No"/>
    <n v="55.53"/>
    <s v="Mkt&amp;HR"/>
    <n v="68.81"/>
    <s v="First Call"/>
    <x v="0"/>
    <n v="1"/>
    <n v="360000"/>
  </r>
  <r>
    <n v="24"/>
    <s v="Female"/>
    <n v="77.400000000000006"/>
    <s v="Others"/>
    <n v="60"/>
    <s v="Others"/>
    <x v="1"/>
    <n v="64.739999999999995"/>
    <s v="Sci&amp;Tech"/>
    <s v="Yes"/>
    <n v="92"/>
    <s v="Mkt&amp;Fin"/>
    <n v="63.62"/>
    <s v="First Call"/>
    <x v="0"/>
    <n v="1"/>
    <n v="300000"/>
  </r>
  <r>
    <n v="25"/>
    <s v="Male"/>
    <n v="76.5"/>
    <s v="Others"/>
    <n v="97.7"/>
    <s v="Others"/>
    <x v="1"/>
    <n v="78.86"/>
    <s v="Sci&amp;Tech"/>
    <s v="No"/>
    <n v="97.4"/>
    <s v="Mkt&amp;Fin"/>
    <n v="74.010000000000005"/>
    <s v="First Call"/>
    <x v="0"/>
    <n v="1"/>
    <n v="360000"/>
  </r>
  <r>
    <n v="26"/>
    <s v="Female"/>
    <n v="52.58"/>
    <s v="Others"/>
    <n v="54.6"/>
    <s v="Central"/>
    <x v="0"/>
    <n v="50.2"/>
    <s v="Comm&amp;Mgmt"/>
    <s v="Yes"/>
    <n v="76"/>
    <s v="Mkt&amp;Fin"/>
    <n v="65.33"/>
    <s v="First Call"/>
    <x v="1"/>
    <n v="0"/>
    <n v="0"/>
  </r>
  <r>
    <n v="27"/>
    <s v="Male"/>
    <n v="71"/>
    <s v="Others"/>
    <n v="79"/>
    <s v="Others"/>
    <x v="0"/>
    <n v="66"/>
    <s v="Comm&amp;Mgmt"/>
    <s v="Yes"/>
    <n v="94"/>
    <s v="Mkt&amp;Fin"/>
    <n v="57.55"/>
    <s v="Pass"/>
    <x v="0"/>
    <n v="1"/>
    <n v="240000"/>
  </r>
  <r>
    <n v="28"/>
    <s v="Male"/>
    <n v="63"/>
    <s v="Others"/>
    <n v="67"/>
    <s v="Others"/>
    <x v="0"/>
    <n v="66"/>
    <s v="Comm&amp;Mgmt"/>
    <s v="No"/>
    <n v="68"/>
    <s v="Mkt&amp;HR"/>
    <n v="57.69"/>
    <s v="Pass"/>
    <x v="0"/>
    <n v="1"/>
    <n v="265000"/>
  </r>
  <r>
    <n v="29"/>
    <s v="Male"/>
    <n v="76.760000000000005"/>
    <s v="Others"/>
    <n v="76.5"/>
    <s v="Others"/>
    <x v="0"/>
    <n v="67.5"/>
    <s v="Comm&amp;Mgmt"/>
    <s v="Yes"/>
    <n v="73.349999999999994"/>
    <s v="Mkt&amp;Fin"/>
    <n v="64.150000000000006"/>
    <s v="First Call"/>
    <x v="0"/>
    <n v="1"/>
    <n v="350000"/>
  </r>
  <r>
    <n v="30"/>
    <s v="Male"/>
    <n v="62"/>
    <s v="Central"/>
    <n v="67"/>
    <s v="Central"/>
    <x v="0"/>
    <n v="58"/>
    <s v="Comm&amp;Mgmt"/>
    <s v="No"/>
    <n v="77"/>
    <s v="Mkt&amp;Fin"/>
    <n v="51.29"/>
    <s v="Pass"/>
    <x v="1"/>
    <n v="0"/>
    <n v="0"/>
  </r>
  <r>
    <n v="31"/>
    <s v="Female"/>
    <n v="64"/>
    <s v="Central"/>
    <n v="73.5"/>
    <s v="Central"/>
    <x v="0"/>
    <n v="73"/>
    <s v="Comm&amp;Mgmt"/>
    <s v="No"/>
    <n v="52"/>
    <s v="Mkt&amp;HR"/>
    <n v="56.7"/>
    <s v="Pass"/>
    <x v="0"/>
    <n v="1"/>
    <n v="250000"/>
  </r>
  <r>
    <n v="32"/>
    <s v="Female"/>
    <n v="67"/>
    <s v="Central"/>
    <n v="53"/>
    <s v="Central"/>
    <x v="1"/>
    <n v="65"/>
    <s v="Sci&amp;Tech"/>
    <s v="No"/>
    <n v="64"/>
    <s v="Mkt&amp;HR"/>
    <n v="58.32"/>
    <s v="Pass"/>
    <x v="1"/>
    <n v="0"/>
    <n v="0"/>
  </r>
  <r>
    <n v="33"/>
    <s v="Female"/>
    <n v="61"/>
    <s v="Central"/>
    <n v="81"/>
    <s v="Central"/>
    <x v="0"/>
    <n v="66.400000000000006"/>
    <s v="Comm&amp;Mgmt"/>
    <s v="No"/>
    <n v="50.89"/>
    <s v="Mkt&amp;HR"/>
    <n v="62.21"/>
    <s v="First Call"/>
    <x v="0"/>
    <n v="1"/>
    <n v="278000"/>
  </r>
  <r>
    <n v="34"/>
    <s v="Female"/>
    <n v="87"/>
    <s v="Others"/>
    <n v="65"/>
    <s v="Others"/>
    <x v="1"/>
    <n v="81"/>
    <s v="Comm&amp;Mgmt"/>
    <s v="Yes"/>
    <n v="88"/>
    <s v="Mkt&amp;Fin"/>
    <n v="72.78"/>
    <s v="First Call"/>
    <x v="0"/>
    <n v="1"/>
    <n v="260000"/>
  </r>
  <r>
    <n v="35"/>
    <s v="Male"/>
    <n v="62"/>
    <s v="Others"/>
    <n v="51"/>
    <s v="Others"/>
    <x v="1"/>
    <n v="52"/>
    <s v="Others"/>
    <s v="No"/>
    <n v="68.44"/>
    <s v="Mkt&amp;HR"/>
    <n v="62.77"/>
    <s v="First Call"/>
    <x v="1"/>
    <n v="0"/>
    <n v="0"/>
  </r>
  <r>
    <n v="36"/>
    <s v="Female"/>
    <n v="69"/>
    <s v="Central"/>
    <n v="78"/>
    <s v="Central"/>
    <x v="0"/>
    <n v="72"/>
    <s v="Comm&amp;Mgmt"/>
    <s v="No"/>
    <n v="71"/>
    <s v="Mkt&amp;HR"/>
    <n v="62.74"/>
    <s v="First Call"/>
    <x v="0"/>
    <n v="1"/>
    <n v="300000"/>
  </r>
  <r>
    <n v="37"/>
    <s v="Male"/>
    <n v="51"/>
    <s v="Central"/>
    <n v="44"/>
    <s v="Central"/>
    <x v="0"/>
    <n v="57"/>
    <s v="Comm&amp;Mgmt"/>
    <s v="No"/>
    <n v="64"/>
    <s v="Mkt&amp;Fin"/>
    <n v="51.45"/>
    <s v="Pass"/>
    <x v="1"/>
    <n v="0"/>
    <n v="0"/>
  </r>
  <r>
    <n v="38"/>
    <s v="Female"/>
    <n v="79"/>
    <s v="Central"/>
    <n v="76"/>
    <s v="Central"/>
    <x v="1"/>
    <n v="65.599999999999994"/>
    <s v="Sci&amp;Tech"/>
    <s v="No"/>
    <n v="58"/>
    <s v="Mkt&amp;HR"/>
    <n v="55.47"/>
    <s v="Pass"/>
    <x v="0"/>
    <n v="1"/>
    <n v="320000"/>
  </r>
  <r>
    <n v="39"/>
    <s v="Female"/>
    <n v="73"/>
    <s v="Others"/>
    <n v="58"/>
    <s v="Others"/>
    <x v="1"/>
    <n v="66"/>
    <s v="Comm&amp;Mgmt"/>
    <s v="No"/>
    <n v="53.7"/>
    <s v="Mkt&amp;HR"/>
    <n v="56.86"/>
    <s v="Pass"/>
    <x v="0"/>
    <n v="1"/>
    <n v="240000"/>
  </r>
  <r>
    <n v="40"/>
    <s v="Male"/>
    <n v="81"/>
    <s v="Others"/>
    <n v="68"/>
    <s v="Others"/>
    <x v="1"/>
    <n v="64"/>
    <s v="Sci&amp;Tech"/>
    <s v="No"/>
    <n v="93"/>
    <s v="Mkt&amp;Fin"/>
    <n v="62.56"/>
    <s v="First Call"/>
    <x v="0"/>
    <n v="1"/>
    <n v="411000"/>
  </r>
  <r>
    <n v="41"/>
    <s v="Female"/>
    <n v="78"/>
    <s v="Central"/>
    <n v="77"/>
    <s v="Others"/>
    <x v="0"/>
    <n v="80"/>
    <s v="Comm&amp;Mgmt"/>
    <s v="No"/>
    <n v="60"/>
    <s v="Mkt&amp;Fin"/>
    <n v="66.72"/>
    <s v="First Call"/>
    <x v="0"/>
    <n v="1"/>
    <n v="287000"/>
  </r>
  <r>
    <n v="42"/>
    <s v="Female"/>
    <n v="74"/>
    <s v="Others"/>
    <n v="63.16"/>
    <s v="Others"/>
    <x v="0"/>
    <n v="65"/>
    <s v="Comm&amp;Mgmt"/>
    <s v="Yes"/>
    <n v="65"/>
    <s v="Mkt&amp;HR"/>
    <n v="69.760000000000005"/>
    <s v="First Call"/>
    <x v="1"/>
    <n v="0"/>
    <n v="0"/>
  </r>
  <r>
    <n v="43"/>
    <s v="Male"/>
    <n v="49"/>
    <s v="Others"/>
    <n v="39"/>
    <s v="Central"/>
    <x v="1"/>
    <n v="65"/>
    <s v="Others"/>
    <s v="No"/>
    <n v="63"/>
    <s v="Mkt&amp;Fin"/>
    <n v="51.21"/>
    <s v="Pass"/>
    <x v="1"/>
    <n v="0"/>
    <n v="0"/>
  </r>
  <r>
    <n v="44"/>
    <s v="Male"/>
    <n v="87"/>
    <s v="Others"/>
    <n v="87"/>
    <s v="Others"/>
    <x v="0"/>
    <n v="68"/>
    <s v="Comm&amp;Mgmt"/>
    <s v="No"/>
    <n v="95"/>
    <s v="Mkt&amp;HR"/>
    <n v="62.9"/>
    <s v="First Call"/>
    <x v="0"/>
    <n v="1"/>
    <n v="300000"/>
  </r>
  <r>
    <n v="45"/>
    <s v="Female"/>
    <n v="77"/>
    <s v="Others"/>
    <n v="73"/>
    <s v="Others"/>
    <x v="0"/>
    <n v="81"/>
    <s v="Comm&amp;Mgmt"/>
    <s v="Yes"/>
    <n v="89"/>
    <s v="Mkt&amp;Fin"/>
    <n v="69.7"/>
    <s v="First Call"/>
    <x v="0"/>
    <n v="1"/>
    <n v="200000"/>
  </r>
  <r>
    <n v="46"/>
    <s v="Female"/>
    <n v="76"/>
    <s v="Central"/>
    <n v="64"/>
    <s v="Central"/>
    <x v="1"/>
    <n v="72"/>
    <s v="Sci&amp;Tech"/>
    <s v="No"/>
    <n v="58"/>
    <s v="Mkt&amp;HR"/>
    <n v="66.53"/>
    <s v="First Call"/>
    <x v="1"/>
    <n v="0"/>
    <n v="0"/>
  </r>
  <r>
    <n v="47"/>
    <s v="Female"/>
    <n v="70.89"/>
    <s v="Others"/>
    <n v="71.98"/>
    <s v="Others"/>
    <x v="1"/>
    <n v="65.599999999999994"/>
    <s v="Comm&amp;Mgmt"/>
    <s v="No"/>
    <n v="68"/>
    <s v="Mkt&amp;HR"/>
    <n v="71.63"/>
    <s v="First Call"/>
    <x v="1"/>
    <n v="0"/>
    <n v="0"/>
  </r>
  <r>
    <n v="48"/>
    <s v="Male"/>
    <n v="63"/>
    <s v="Central"/>
    <n v="60"/>
    <s v="Central"/>
    <x v="0"/>
    <n v="57"/>
    <s v="Comm&amp;Mgmt"/>
    <s v="Yes"/>
    <n v="78"/>
    <s v="Mkt&amp;Fin"/>
    <n v="54.55"/>
    <s v="Pass"/>
    <x v="0"/>
    <n v="1"/>
    <n v="204000"/>
  </r>
  <r>
    <n v="49"/>
    <s v="Male"/>
    <n v="63"/>
    <s v="Others"/>
    <n v="62"/>
    <s v="Others"/>
    <x v="0"/>
    <n v="68"/>
    <s v="Comm&amp;Mgmt"/>
    <s v="No"/>
    <n v="64"/>
    <s v="Mkt&amp;Fin"/>
    <n v="62.46"/>
    <s v="First Call"/>
    <x v="0"/>
    <n v="1"/>
    <n v="250000"/>
  </r>
  <r>
    <n v="50"/>
    <s v="Female"/>
    <n v="50"/>
    <s v="Others"/>
    <n v="37"/>
    <s v="Others"/>
    <x v="2"/>
    <n v="52"/>
    <s v="Others"/>
    <s v="No"/>
    <n v="65"/>
    <s v="Mkt&amp;HR"/>
    <n v="56.11"/>
    <s v="Pass"/>
    <x v="1"/>
    <n v="0"/>
    <n v="0"/>
  </r>
  <r>
    <n v="51"/>
    <s v="Female"/>
    <n v="75.2"/>
    <s v="Central"/>
    <n v="73.2"/>
    <s v="Central"/>
    <x v="1"/>
    <n v="68.400000000000006"/>
    <s v="Comm&amp;Mgmt"/>
    <s v="No"/>
    <n v="65"/>
    <s v="Mkt&amp;HR"/>
    <n v="62.98"/>
    <s v="First Call"/>
    <x v="0"/>
    <n v="1"/>
    <n v="200000"/>
  </r>
  <r>
    <n v="52"/>
    <s v="Male"/>
    <n v="54.4"/>
    <s v="Central"/>
    <n v="61.12"/>
    <s v="Central"/>
    <x v="0"/>
    <n v="56.2"/>
    <s v="Comm&amp;Mgmt"/>
    <s v="No"/>
    <n v="67"/>
    <s v="Mkt&amp;HR"/>
    <n v="62.65"/>
    <s v="First Call"/>
    <x v="1"/>
    <n v="0"/>
    <n v="0"/>
  </r>
  <r>
    <n v="53"/>
    <s v="Female"/>
    <n v="40.89"/>
    <s v="Others"/>
    <n v="45.83"/>
    <s v="Others"/>
    <x v="0"/>
    <n v="53"/>
    <s v="Comm&amp;Mgmt"/>
    <s v="No"/>
    <n v="71.2"/>
    <s v="Mkt&amp;HR"/>
    <n v="65.489999999999995"/>
    <s v="First Call"/>
    <x v="1"/>
    <n v="0"/>
    <n v="0"/>
  </r>
  <r>
    <n v="54"/>
    <s v="Male"/>
    <n v="80"/>
    <s v="Others"/>
    <n v="70"/>
    <s v="Others"/>
    <x v="1"/>
    <n v="72"/>
    <s v="Sci&amp;Tech"/>
    <s v="No"/>
    <n v="87"/>
    <s v="Mkt&amp;HR"/>
    <n v="71.040000000000006"/>
    <s v="First Call"/>
    <x v="0"/>
    <n v="1"/>
    <n v="450000"/>
  </r>
  <r>
    <n v="55"/>
    <s v="Female"/>
    <n v="74"/>
    <s v="Central"/>
    <n v="60"/>
    <s v="Others"/>
    <x v="1"/>
    <n v="69"/>
    <s v="Comm&amp;Mgmt"/>
    <s v="No"/>
    <n v="78"/>
    <s v="Mkt&amp;HR"/>
    <n v="65.56"/>
    <s v="First Call"/>
    <x v="0"/>
    <n v="1"/>
    <n v="216000"/>
  </r>
  <r>
    <n v="56"/>
    <s v="Male"/>
    <n v="60.4"/>
    <s v="Central"/>
    <n v="66.599999999999994"/>
    <s v="Others"/>
    <x v="1"/>
    <n v="65"/>
    <s v="Comm&amp;Mgmt"/>
    <s v="No"/>
    <n v="71"/>
    <s v="Mkt&amp;HR"/>
    <n v="52.71"/>
    <s v="Pass"/>
    <x v="0"/>
    <n v="1"/>
    <n v="220000"/>
  </r>
  <r>
    <n v="57"/>
    <s v="Male"/>
    <n v="63"/>
    <s v="Others"/>
    <n v="71.400000000000006"/>
    <s v="Others"/>
    <x v="0"/>
    <n v="61.4"/>
    <s v="Comm&amp;Mgmt"/>
    <s v="No"/>
    <n v="68"/>
    <s v="Mkt&amp;Fin"/>
    <n v="66.88"/>
    <s v="First Call"/>
    <x v="0"/>
    <n v="1"/>
    <n v="240000"/>
  </r>
  <r>
    <n v="58"/>
    <s v="Male"/>
    <n v="68"/>
    <s v="Central"/>
    <n v="76"/>
    <s v="Central"/>
    <x v="0"/>
    <n v="74"/>
    <s v="Comm&amp;Mgmt"/>
    <s v="No"/>
    <n v="80"/>
    <s v="Mkt&amp;Fin"/>
    <n v="63.59"/>
    <s v="First Call"/>
    <x v="0"/>
    <n v="1"/>
    <n v="360000"/>
  </r>
  <r>
    <n v="59"/>
    <s v="Male"/>
    <n v="74"/>
    <s v="Central"/>
    <n v="62"/>
    <s v="Others"/>
    <x v="1"/>
    <n v="68"/>
    <s v="Comm&amp;Mgmt"/>
    <s v="No"/>
    <n v="74"/>
    <s v="Mkt&amp;Fin"/>
    <n v="57.99"/>
    <s v="Pass"/>
    <x v="0"/>
    <n v="1"/>
    <n v="268000"/>
  </r>
  <r>
    <n v="60"/>
    <s v="Male"/>
    <n v="52.6"/>
    <s v="Central"/>
    <n v="65.58"/>
    <s v="Others"/>
    <x v="1"/>
    <n v="72.11"/>
    <s v="Sci&amp;Tech"/>
    <s v="No"/>
    <n v="57.6"/>
    <s v="Mkt&amp;Fin"/>
    <n v="56.66"/>
    <s v="Pass"/>
    <x v="0"/>
    <n v="1"/>
    <n v="265000"/>
  </r>
  <r>
    <n v="61"/>
    <s v="Male"/>
    <n v="74"/>
    <s v="Central"/>
    <n v="70"/>
    <s v="Central"/>
    <x v="1"/>
    <n v="72"/>
    <s v="Comm&amp;Mgmt"/>
    <s v="Yes"/>
    <n v="60"/>
    <s v="Mkt&amp;Fin"/>
    <n v="57.24"/>
    <s v="Pass"/>
    <x v="0"/>
    <n v="1"/>
    <n v="260000"/>
  </r>
  <r>
    <n v="62"/>
    <s v="Male"/>
    <n v="84.2"/>
    <s v="Central"/>
    <n v="73.400000000000006"/>
    <s v="Central"/>
    <x v="0"/>
    <n v="66.89"/>
    <s v="Comm&amp;Mgmt"/>
    <s v="No"/>
    <n v="61.6"/>
    <s v="Mkt&amp;Fin"/>
    <n v="62.48"/>
    <s v="First Call"/>
    <x v="0"/>
    <n v="1"/>
    <n v="300000"/>
  </r>
  <r>
    <n v="63"/>
    <s v="Female"/>
    <n v="86.5"/>
    <s v="Others"/>
    <n v="64.2"/>
    <s v="Others"/>
    <x v="1"/>
    <n v="67.400000000000006"/>
    <s v="Sci&amp;Tech"/>
    <s v="No"/>
    <n v="59"/>
    <s v="Mkt&amp;Fin"/>
    <n v="59.69"/>
    <s v="Pass"/>
    <x v="0"/>
    <n v="1"/>
    <n v="240000"/>
  </r>
  <r>
    <n v="64"/>
    <s v="Male"/>
    <n v="61"/>
    <s v="Others"/>
    <n v="70"/>
    <s v="Others"/>
    <x v="0"/>
    <n v="64"/>
    <s v="Comm&amp;Mgmt"/>
    <s v="No"/>
    <n v="68.5"/>
    <s v="Mkt&amp;HR"/>
    <n v="59.5"/>
    <s v="Pass"/>
    <x v="1"/>
    <n v="0"/>
    <n v="0"/>
  </r>
  <r>
    <n v="65"/>
    <s v="Male"/>
    <n v="80"/>
    <s v="Others"/>
    <n v="73"/>
    <s v="Others"/>
    <x v="0"/>
    <n v="75"/>
    <s v="Comm&amp;Mgmt"/>
    <s v="No"/>
    <n v="61"/>
    <s v="Mkt&amp;Fin"/>
    <n v="58.78"/>
    <s v="Pass"/>
    <x v="0"/>
    <n v="1"/>
    <n v="240000"/>
  </r>
  <r>
    <n v="66"/>
    <s v="Male"/>
    <n v="54"/>
    <s v="Others"/>
    <n v="47"/>
    <s v="Others"/>
    <x v="1"/>
    <n v="57"/>
    <s v="Comm&amp;Mgmt"/>
    <s v="No"/>
    <n v="89.69"/>
    <s v="Mkt&amp;HR"/>
    <n v="57.1"/>
    <s v="Pass"/>
    <x v="1"/>
    <n v="0"/>
    <n v="0"/>
  </r>
  <r>
    <n v="67"/>
    <s v="Male"/>
    <n v="83"/>
    <s v="Others"/>
    <n v="74"/>
    <s v="Others"/>
    <x v="1"/>
    <n v="66"/>
    <s v="Comm&amp;Mgmt"/>
    <s v="No"/>
    <n v="68.92"/>
    <s v="Mkt&amp;HR"/>
    <n v="58.46"/>
    <s v="Pass"/>
    <x v="0"/>
    <n v="1"/>
    <n v="275000"/>
  </r>
  <r>
    <n v="68"/>
    <s v="Male"/>
    <n v="80.92"/>
    <s v="Others"/>
    <n v="78.5"/>
    <s v="Others"/>
    <x v="0"/>
    <n v="67"/>
    <s v="Comm&amp;Mgmt"/>
    <s v="No"/>
    <n v="68.709999999999994"/>
    <s v="Mkt&amp;Fin"/>
    <n v="60.99"/>
    <s v="First Call"/>
    <x v="0"/>
    <n v="1"/>
    <n v="275000"/>
  </r>
  <r>
    <n v="69"/>
    <s v="Female"/>
    <n v="69.7"/>
    <s v="Central"/>
    <n v="47"/>
    <s v="Central"/>
    <x v="0"/>
    <n v="72.7"/>
    <s v="Sci&amp;Tech"/>
    <s v="No"/>
    <n v="79"/>
    <s v="Mkt&amp;HR"/>
    <n v="59.24"/>
    <s v="Pass"/>
    <x v="1"/>
    <n v="0"/>
    <n v="0"/>
  </r>
  <r>
    <n v="70"/>
    <s v="Male"/>
    <n v="73"/>
    <s v="Central"/>
    <n v="73"/>
    <s v="Central"/>
    <x v="1"/>
    <n v="66"/>
    <s v="Sci&amp;Tech"/>
    <s v="Yes"/>
    <n v="70"/>
    <s v="Mkt&amp;Fin"/>
    <n v="68.069999999999993"/>
    <s v="First Call"/>
    <x v="0"/>
    <n v="1"/>
    <n v="275000"/>
  </r>
  <r>
    <n v="71"/>
    <s v="Male"/>
    <n v="82"/>
    <s v="Others"/>
    <n v="61"/>
    <s v="Others"/>
    <x v="1"/>
    <n v="62"/>
    <s v="Sci&amp;Tech"/>
    <s v="No"/>
    <n v="89"/>
    <s v="Mkt&amp;Fin"/>
    <n v="65.45"/>
    <s v="First Call"/>
    <x v="0"/>
    <n v="1"/>
    <n v="360000"/>
  </r>
  <r>
    <n v="72"/>
    <s v="Male"/>
    <n v="75"/>
    <s v="Others"/>
    <n v="70.290000000000006"/>
    <s v="Others"/>
    <x v="0"/>
    <n v="71"/>
    <s v="Comm&amp;Mgmt"/>
    <s v="No"/>
    <n v="95"/>
    <s v="Mkt&amp;Fin"/>
    <n v="66.94"/>
    <s v="First Call"/>
    <x v="0"/>
    <n v="1"/>
    <n v="240000"/>
  </r>
  <r>
    <n v="73"/>
    <s v="Male"/>
    <n v="84.86"/>
    <s v="Others"/>
    <n v="67"/>
    <s v="Others"/>
    <x v="1"/>
    <n v="78"/>
    <s v="Comm&amp;Mgmt"/>
    <s v="No"/>
    <n v="95.5"/>
    <s v="Mkt&amp;Fin"/>
    <n v="68.53"/>
    <s v="First Call"/>
    <x v="0"/>
    <n v="1"/>
    <n v="240000"/>
  </r>
  <r>
    <n v="74"/>
    <s v="Male"/>
    <n v="64.599999999999994"/>
    <s v="Central"/>
    <n v="83.83"/>
    <s v="Others"/>
    <x v="0"/>
    <n v="71.72"/>
    <s v="Comm&amp;Mgmt"/>
    <s v="No"/>
    <n v="86"/>
    <s v="Mkt&amp;Fin"/>
    <n v="59.75"/>
    <s v="Pass"/>
    <x v="0"/>
    <n v="1"/>
    <n v="218000"/>
  </r>
  <r>
    <n v="75"/>
    <s v="Male"/>
    <n v="56.6"/>
    <s v="Central"/>
    <n v="64.8"/>
    <s v="Central"/>
    <x v="0"/>
    <n v="70.2"/>
    <s v="Comm&amp;Mgmt"/>
    <s v="No"/>
    <n v="84.27"/>
    <s v="Mkt&amp;Fin"/>
    <n v="67.2"/>
    <s v="First Call"/>
    <x v="0"/>
    <n v="1"/>
    <n v="336000"/>
  </r>
  <r>
    <n v="76"/>
    <s v="Female"/>
    <n v="59"/>
    <s v="Central"/>
    <n v="62"/>
    <s v="Others"/>
    <x v="0"/>
    <n v="77.5"/>
    <s v="Comm&amp;Mgmt"/>
    <s v="No"/>
    <n v="74"/>
    <s v="Mkt&amp;HR"/>
    <n v="67"/>
    <s v="First Call"/>
    <x v="1"/>
    <n v="0"/>
    <n v="0"/>
  </r>
  <r>
    <n v="77"/>
    <s v="Female"/>
    <n v="66.5"/>
    <s v="Others"/>
    <n v="70.400000000000006"/>
    <s v="Central"/>
    <x v="2"/>
    <n v="71.930000000000007"/>
    <s v="Comm&amp;Mgmt"/>
    <s v="No"/>
    <n v="61"/>
    <s v="Mkt&amp;Fin"/>
    <n v="64.27"/>
    <s v="First Call"/>
    <x v="0"/>
    <n v="1"/>
    <n v="230000"/>
  </r>
  <r>
    <n v="78"/>
    <s v="Male"/>
    <n v="64"/>
    <s v="Others"/>
    <n v="80"/>
    <s v="Others"/>
    <x v="1"/>
    <n v="65"/>
    <s v="Sci&amp;Tech"/>
    <s v="Yes"/>
    <n v="69"/>
    <s v="Mkt&amp;Fin"/>
    <n v="57.65"/>
    <s v="Pass"/>
    <x v="0"/>
    <n v="1"/>
    <n v="500000"/>
  </r>
  <r>
    <n v="79"/>
    <s v="Male"/>
    <n v="84"/>
    <s v="Others"/>
    <n v="90.9"/>
    <s v="Others"/>
    <x v="1"/>
    <n v="64.5"/>
    <s v="Sci&amp;Tech"/>
    <s v="No"/>
    <n v="86.04"/>
    <s v="Mkt&amp;Fin"/>
    <n v="59.42"/>
    <s v="Pass"/>
    <x v="0"/>
    <n v="1"/>
    <n v="270000"/>
  </r>
  <r>
    <n v="80"/>
    <s v="Female"/>
    <n v="69"/>
    <s v="Central"/>
    <n v="62"/>
    <s v="Central"/>
    <x v="1"/>
    <n v="66"/>
    <s v="Sci&amp;Tech"/>
    <s v="No"/>
    <n v="75"/>
    <s v="Mkt&amp;HR"/>
    <n v="67.989999999999995"/>
    <s v="First Call"/>
    <x v="1"/>
    <n v="0"/>
    <n v="0"/>
  </r>
  <r>
    <n v="81"/>
    <s v="Female"/>
    <n v="69"/>
    <s v="Others"/>
    <n v="62"/>
    <s v="Others"/>
    <x v="0"/>
    <n v="69"/>
    <s v="Comm&amp;Mgmt"/>
    <s v="Yes"/>
    <n v="67"/>
    <s v="Mkt&amp;HR"/>
    <n v="62.35"/>
    <s v="First Call"/>
    <x v="0"/>
    <n v="1"/>
    <n v="240000"/>
  </r>
  <r>
    <n v="82"/>
    <s v="Male"/>
    <n v="81.7"/>
    <s v="Others"/>
    <n v="63"/>
    <s v="Others"/>
    <x v="1"/>
    <n v="67"/>
    <s v="Comm&amp;Mgmt"/>
    <s v="Yes"/>
    <n v="86"/>
    <s v="Mkt&amp;Fin"/>
    <n v="70.2"/>
    <s v="First Call"/>
    <x v="0"/>
    <n v="1"/>
    <n v="300000"/>
  </r>
  <r>
    <n v="83"/>
    <s v="Male"/>
    <n v="63"/>
    <s v="Central"/>
    <n v="67"/>
    <s v="Central"/>
    <x v="0"/>
    <n v="74"/>
    <s v="Comm&amp;Mgmt"/>
    <s v="No"/>
    <n v="82"/>
    <s v="Mkt&amp;Fin"/>
    <n v="60.44"/>
    <s v="First Call"/>
    <x v="1"/>
    <n v="0"/>
    <n v="0"/>
  </r>
  <r>
    <n v="84"/>
    <s v="Male"/>
    <n v="84"/>
    <s v="Others"/>
    <n v="79"/>
    <s v="Others"/>
    <x v="1"/>
    <n v="68"/>
    <s v="Sci&amp;Tech"/>
    <s v="Yes"/>
    <n v="84"/>
    <s v="Mkt&amp;Fin"/>
    <n v="66.69"/>
    <s v="First Call"/>
    <x v="0"/>
    <n v="1"/>
    <n v="300000"/>
  </r>
  <r>
    <n v="85"/>
    <s v="Male"/>
    <n v="70"/>
    <s v="Central"/>
    <n v="63"/>
    <s v="Others"/>
    <x v="1"/>
    <n v="70"/>
    <s v="Sci&amp;Tech"/>
    <s v="Yes"/>
    <n v="55"/>
    <s v="Mkt&amp;Fin"/>
    <n v="62"/>
    <s v="First Call"/>
    <x v="0"/>
    <n v="1"/>
    <n v="300000"/>
  </r>
  <r>
    <n v="86"/>
    <s v="Female"/>
    <n v="83.84"/>
    <s v="Others"/>
    <n v="89.83"/>
    <s v="Others"/>
    <x v="0"/>
    <n v="77.2"/>
    <s v="Comm&amp;Mgmt"/>
    <s v="Yes"/>
    <n v="78.739999999999995"/>
    <s v="Mkt&amp;Fin"/>
    <n v="76.180000000000007"/>
    <s v="Distinction"/>
    <x v="0"/>
    <n v="1"/>
    <n v="400000"/>
  </r>
  <r>
    <n v="87"/>
    <s v="Male"/>
    <n v="62"/>
    <s v="Others"/>
    <n v="63"/>
    <s v="Others"/>
    <x v="0"/>
    <n v="64"/>
    <s v="Comm&amp;Mgmt"/>
    <s v="No"/>
    <n v="67"/>
    <s v="Mkt&amp;Fin"/>
    <n v="57.03"/>
    <s v="Pass"/>
    <x v="0"/>
    <n v="1"/>
    <n v="220000"/>
  </r>
  <r>
    <n v="88"/>
    <s v="Male"/>
    <n v="59.6"/>
    <s v="Central"/>
    <n v="51"/>
    <s v="Central"/>
    <x v="1"/>
    <n v="60"/>
    <s v="Others"/>
    <s v="No"/>
    <n v="75"/>
    <s v="Mkt&amp;HR"/>
    <n v="59.08"/>
    <s v="Pass"/>
    <x v="1"/>
    <n v="0"/>
    <n v="0"/>
  </r>
  <r>
    <n v="89"/>
    <s v="Female"/>
    <n v="66"/>
    <s v="Central"/>
    <n v="62"/>
    <s v="Central"/>
    <x v="0"/>
    <n v="73"/>
    <s v="Comm&amp;Mgmt"/>
    <s v="No"/>
    <n v="58"/>
    <s v="Mkt&amp;HR"/>
    <n v="64.36"/>
    <s v="First Call"/>
    <x v="0"/>
    <n v="1"/>
    <n v="210000"/>
  </r>
  <r>
    <n v="90"/>
    <s v="Female"/>
    <n v="84"/>
    <s v="Others"/>
    <n v="75"/>
    <s v="Others"/>
    <x v="1"/>
    <n v="69"/>
    <s v="Sci&amp;Tech"/>
    <s v="Yes"/>
    <n v="62"/>
    <s v="Mkt&amp;HR"/>
    <n v="62.36"/>
    <s v="First Call"/>
    <x v="0"/>
    <n v="1"/>
    <n v="210000"/>
  </r>
  <r>
    <n v="91"/>
    <s v="Female"/>
    <n v="85"/>
    <s v="Others"/>
    <n v="90"/>
    <s v="Others"/>
    <x v="0"/>
    <n v="82"/>
    <s v="Comm&amp;Mgmt"/>
    <s v="No"/>
    <n v="92"/>
    <s v="Mkt&amp;Fin"/>
    <n v="68.03"/>
    <s v="First Call"/>
    <x v="0"/>
    <n v="1"/>
    <n v="300000"/>
  </r>
  <r>
    <n v="92"/>
    <s v="Male"/>
    <n v="52"/>
    <s v="Central"/>
    <n v="57"/>
    <s v="Central"/>
    <x v="0"/>
    <n v="50.8"/>
    <s v="Comm&amp;Mgmt"/>
    <s v="No"/>
    <n v="67"/>
    <s v="Mkt&amp;HR"/>
    <n v="62.79"/>
    <s v="First Call"/>
    <x v="1"/>
    <n v="0"/>
    <n v="0"/>
  </r>
  <r>
    <n v="93"/>
    <s v="Female"/>
    <n v="60.23"/>
    <s v="Central"/>
    <n v="69"/>
    <s v="Central"/>
    <x v="1"/>
    <n v="66"/>
    <s v="Comm&amp;Mgmt"/>
    <s v="No"/>
    <n v="72"/>
    <s v="Mkt&amp;Fin"/>
    <n v="59.47"/>
    <s v="Pass"/>
    <x v="0"/>
    <n v="1"/>
    <n v="230000"/>
  </r>
  <r>
    <n v="94"/>
    <s v="Male"/>
    <n v="52"/>
    <s v="Central"/>
    <n v="62"/>
    <s v="Central"/>
    <x v="0"/>
    <n v="54"/>
    <s v="Comm&amp;Mgmt"/>
    <s v="No"/>
    <n v="72"/>
    <s v="Mkt&amp;HR"/>
    <n v="55.41"/>
    <s v="Pass"/>
    <x v="1"/>
    <n v="0"/>
    <n v="0"/>
  </r>
  <r>
    <n v="95"/>
    <s v="Male"/>
    <n v="58"/>
    <s v="Central"/>
    <n v="62"/>
    <s v="Central"/>
    <x v="0"/>
    <n v="64"/>
    <s v="Comm&amp;Mgmt"/>
    <s v="No"/>
    <n v="53.88"/>
    <s v="Mkt&amp;Fin"/>
    <n v="54.97"/>
    <s v="Pass"/>
    <x v="0"/>
    <n v="1"/>
    <n v="260000"/>
  </r>
  <r>
    <n v="96"/>
    <s v="Male"/>
    <n v="73"/>
    <s v="Central"/>
    <n v="78"/>
    <s v="Others"/>
    <x v="0"/>
    <n v="65"/>
    <s v="Comm&amp;Mgmt"/>
    <s v="Yes"/>
    <n v="95.46"/>
    <s v="Mkt&amp;Fin"/>
    <n v="62.16"/>
    <s v="First Call"/>
    <x v="0"/>
    <n v="1"/>
    <n v="420000"/>
  </r>
  <r>
    <n v="97"/>
    <s v="Female"/>
    <n v="76"/>
    <s v="Central"/>
    <n v="70"/>
    <s v="Central"/>
    <x v="1"/>
    <n v="76"/>
    <s v="Comm&amp;Mgmt"/>
    <s v="Yes"/>
    <n v="66"/>
    <s v="Mkt&amp;Fin"/>
    <n v="64.44"/>
    <s v="First Call"/>
    <x v="0"/>
    <n v="1"/>
    <n v="300000"/>
  </r>
  <r>
    <n v="98"/>
    <s v="Female"/>
    <n v="70.5"/>
    <s v="Central"/>
    <n v="62.5"/>
    <s v="Others"/>
    <x v="0"/>
    <n v="61"/>
    <s v="Comm&amp;Mgmt"/>
    <s v="No"/>
    <n v="93.91"/>
    <s v="Mkt&amp;Fin"/>
    <n v="69.03"/>
    <s v="First Call"/>
    <x v="1"/>
    <n v="0"/>
    <n v="0"/>
  </r>
  <r>
    <n v="99"/>
    <s v="Female"/>
    <n v="69"/>
    <s v="Central"/>
    <n v="73"/>
    <s v="Central"/>
    <x v="0"/>
    <n v="65"/>
    <s v="Comm&amp;Mgmt"/>
    <s v="No"/>
    <n v="70"/>
    <s v="Mkt&amp;Fin"/>
    <n v="57.31"/>
    <s v="Pass"/>
    <x v="0"/>
    <n v="1"/>
    <n v="220000"/>
  </r>
  <r>
    <n v="100"/>
    <s v="Male"/>
    <n v="54"/>
    <s v="Central"/>
    <n v="82"/>
    <s v="Others"/>
    <x v="0"/>
    <n v="63"/>
    <s v="Sci&amp;Tech"/>
    <s v="No"/>
    <n v="50"/>
    <s v="Mkt&amp;Fin"/>
    <n v="59.47"/>
    <s v="Pass"/>
    <x v="1"/>
    <n v="0"/>
    <n v="0"/>
  </r>
  <r>
    <n v="101"/>
    <s v="Female"/>
    <n v="45"/>
    <s v="Others"/>
    <n v="57"/>
    <s v="Others"/>
    <x v="0"/>
    <n v="58"/>
    <s v="Comm&amp;Mgmt"/>
    <s v="Yes"/>
    <n v="56.39"/>
    <s v="Mkt&amp;HR"/>
    <n v="64.95"/>
    <s v="First Call"/>
    <x v="1"/>
    <n v="0"/>
    <n v="0"/>
  </r>
  <r>
    <n v="102"/>
    <s v="Male"/>
    <n v="63"/>
    <s v="Central"/>
    <n v="72"/>
    <s v="Central"/>
    <x v="0"/>
    <n v="68"/>
    <s v="Comm&amp;Mgmt"/>
    <s v="No"/>
    <n v="78"/>
    <s v="Mkt&amp;HR"/>
    <n v="60.44"/>
    <s v="First Call"/>
    <x v="0"/>
    <n v="1"/>
    <n v="380000"/>
  </r>
  <r>
    <n v="103"/>
    <s v="Female"/>
    <n v="77"/>
    <s v="Others"/>
    <n v="61"/>
    <s v="Others"/>
    <x v="0"/>
    <n v="68"/>
    <s v="Comm&amp;Mgmt"/>
    <s v="Yes"/>
    <n v="57.5"/>
    <s v="Mkt&amp;Fin"/>
    <n v="61.31"/>
    <s v="First Call"/>
    <x v="0"/>
    <n v="1"/>
    <n v="300000"/>
  </r>
  <r>
    <n v="104"/>
    <s v="Male"/>
    <n v="73"/>
    <s v="Central"/>
    <n v="78"/>
    <s v="Central"/>
    <x v="1"/>
    <n v="73"/>
    <s v="Sci&amp;Tech"/>
    <s v="Yes"/>
    <n v="85"/>
    <s v="Mkt&amp;HR"/>
    <n v="65.83"/>
    <s v="First Call"/>
    <x v="0"/>
    <n v="1"/>
    <n v="240000"/>
  </r>
  <r>
    <n v="105"/>
    <s v="Male"/>
    <n v="69"/>
    <s v="Central"/>
    <n v="63"/>
    <s v="Others"/>
    <x v="1"/>
    <n v="65"/>
    <s v="Comm&amp;Mgmt"/>
    <s v="Yes"/>
    <n v="55"/>
    <s v="Mkt&amp;HR"/>
    <n v="58.23"/>
    <s v="Pass"/>
    <x v="0"/>
    <n v="1"/>
    <n v="360000"/>
  </r>
  <r>
    <n v="106"/>
    <s v="Male"/>
    <n v="59"/>
    <s v="Central"/>
    <n v="64"/>
    <s v="Others"/>
    <x v="1"/>
    <n v="58"/>
    <s v="Sci&amp;Tech"/>
    <s v="No"/>
    <n v="85"/>
    <s v="Mkt&amp;HR"/>
    <n v="55.3"/>
    <s v="Pass"/>
    <x v="1"/>
    <n v="0"/>
    <n v="0"/>
  </r>
  <r>
    <n v="107"/>
    <s v="Male"/>
    <n v="61.08"/>
    <s v="Others"/>
    <n v="50"/>
    <s v="Others"/>
    <x v="1"/>
    <n v="54"/>
    <s v="Sci&amp;Tech"/>
    <s v="No"/>
    <n v="71"/>
    <s v="Mkt&amp;Fin"/>
    <n v="65.69"/>
    <s v="First Call"/>
    <x v="1"/>
    <n v="0"/>
    <n v="0"/>
  </r>
  <r>
    <n v="108"/>
    <s v="Male"/>
    <n v="82"/>
    <s v="Others"/>
    <n v="90"/>
    <s v="Others"/>
    <x v="0"/>
    <n v="83"/>
    <s v="Comm&amp;Mgmt"/>
    <s v="No"/>
    <n v="80"/>
    <s v="Mkt&amp;HR"/>
    <n v="73.52"/>
    <s v="First Call"/>
    <x v="0"/>
    <n v="1"/>
    <n v="200000"/>
  </r>
  <r>
    <n v="109"/>
    <s v="Male"/>
    <n v="61"/>
    <s v="Central"/>
    <n v="82"/>
    <s v="Central"/>
    <x v="0"/>
    <n v="69"/>
    <s v="Comm&amp;Mgmt"/>
    <s v="No"/>
    <n v="84"/>
    <s v="Mkt&amp;Fin"/>
    <n v="58.31"/>
    <s v="Pass"/>
    <x v="0"/>
    <n v="1"/>
    <n v="300000"/>
  </r>
  <r>
    <n v="110"/>
    <s v="Male"/>
    <n v="52"/>
    <s v="Central"/>
    <n v="63"/>
    <s v="Others"/>
    <x v="1"/>
    <n v="65"/>
    <s v="Sci&amp;Tech"/>
    <s v="Yes"/>
    <n v="86"/>
    <s v="Mkt&amp;HR"/>
    <n v="56.09"/>
    <s v="Pass"/>
    <x v="1"/>
    <n v="0"/>
    <n v="0"/>
  </r>
  <r>
    <n v="111"/>
    <s v="Female"/>
    <n v="69.5"/>
    <s v="Central"/>
    <n v="70"/>
    <s v="Central"/>
    <x v="1"/>
    <n v="72"/>
    <s v="Sci&amp;Tech"/>
    <s v="No"/>
    <n v="57.2"/>
    <s v="Mkt&amp;HR"/>
    <n v="54.8"/>
    <s v="Pass"/>
    <x v="0"/>
    <n v="1"/>
    <n v="250000"/>
  </r>
  <r>
    <n v="112"/>
    <s v="Male"/>
    <n v="51"/>
    <s v="Others"/>
    <n v="54"/>
    <s v="Others"/>
    <x v="1"/>
    <n v="61"/>
    <s v="Sci&amp;Tech"/>
    <s v="No"/>
    <n v="60"/>
    <s v="Mkt&amp;HR"/>
    <n v="60.64"/>
    <s v="First Call"/>
    <x v="1"/>
    <n v="0"/>
    <n v="0"/>
  </r>
  <r>
    <n v="113"/>
    <s v="Male"/>
    <n v="58"/>
    <s v="Others"/>
    <n v="61"/>
    <s v="Others"/>
    <x v="0"/>
    <n v="61"/>
    <s v="Comm&amp;Mgmt"/>
    <s v="No"/>
    <n v="58"/>
    <s v="Mkt&amp;HR"/>
    <n v="53.94"/>
    <s v="Pass"/>
    <x v="0"/>
    <n v="1"/>
    <n v="250000"/>
  </r>
  <r>
    <n v="114"/>
    <s v="Female"/>
    <n v="73.959999999999994"/>
    <s v="Others"/>
    <n v="79"/>
    <s v="Others"/>
    <x v="0"/>
    <n v="67"/>
    <s v="Comm&amp;Mgmt"/>
    <s v="No"/>
    <n v="72.150000000000006"/>
    <s v="Mkt&amp;Fin"/>
    <n v="63.08"/>
    <s v="First Call"/>
    <x v="0"/>
    <n v="1"/>
    <n v="280000"/>
  </r>
  <r>
    <n v="115"/>
    <s v="Male"/>
    <n v="65"/>
    <s v="Central"/>
    <n v="68"/>
    <s v="Others"/>
    <x v="1"/>
    <n v="69"/>
    <s v="Comm&amp;Mgmt"/>
    <s v="No"/>
    <n v="53.7"/>
    <s v="Mkt&amp;HR"/>
    <n v="55.01"/>
    <s v="Pass"/>
    <x v="0"/>
    <n v="1"/>
    <n v="250000"/>
  </r>
  <r>
    <n v="116"/>
    <s v="Female"/>
    <n v="73"/>
    <s v="Others"/>
    <n v="63"/>
    <s v="Others"/>
    <x v="1"/>
    <n v="66"/>
    <s v="Comm&amp;Mgmt"/>
    <s v="No"/>
    <n v="89"/>
    <s v="Mkt&amp;Fin"/>
    <n v="60.5"/>
    <s v="First Call"/>
    <x v="0"/>
    <n v="1"/>
    <n v="216000"/>
  </r>
  <r>
    <n v="117"/>
    <s v="Male"/>
    <n v="68.2"/>
    <s v="Central"/>
    <n v="72.8"/>
    <s v="Central"/>
    <x v="0"/>
    <n v="66.599999999999994"/>
    <s v="Comm&amp;Mgmt"/>
    <s v="Yes"/>
    <n v="96"/>
    <s v="Mkt&amp;Fin"/>
    <n v="70.849999999999994"/>
    <s v="First Call"/>
    <x v="0"/>
    <n v="1"/>
    <n v="300000"/>
  </r>
  <r>
    <n v="118"/>
    <s v="Male"/>
    <n v="77"/>
    <s v="Others"/>
    <n v="75"/>
    <s v="Others"/>
    <x v="1"/>
    <n v="73"/>
    <s v="Sci&amp;Tech"/>
    <s v="No"/>
    <n v="80"/>
    <s v="Mkt&amp;Fin"/>
    <n v="67.05"/>
    <s v="First Call"/>
    <x v="0"/>
    <n v="1"/>
    <n v="240000"/>
  </r>
  <r>
    <n v="119"/>
    <s v="Male"/>
    <n v="76"/>
    <s v="Central"/>
    <n v="80"/>
    <s v="Central"/>
    <x v="1"/>
    <n v="78"/>
    <s v="Sci&amp;Tech"/>
    <s v="Yes"/>
    <n v="97"/>
    <s v="Mkt&amp;HR"/>
    <n v="70.48"/>
    <s v="First Call"/>
    <x v="0"/>
    <n v="1"/>
    <n v="276000"/>
  </r>
  <r>
    <n v="120"/>
    <s v="Male"/>
    <n v="60.8"/>
    <s v="Central"/>
    <n v="68.400000000000006"/>
    <s v="Central"/>
    <x v="0"/>
    <n v="64.599999999999994"/>
    <s v="Comm&amp;Mgmt"/>
    <s v="Yes"/>
    <n v="82.66"/>
    <s v="Mkt&amp;Fin"/>
    <n v="64.34"/>
    <s v="First Call"/>
    <x v="0"/>
    <n v="1"/>
    <n v="940000"/>
  </r>
  <r>
    <n v="121"/>
    <s v="Male"/>
    <n v="58"/>
    <s v="Others"/>
    <n v="40"/>
    <s v="Others"/>
    <x v="1"/>
    <n v="59"/>
    <s v="Comm&amp;Mgmt"/>
    <s v="No"/>
    <n v="73"/>
    <s v="Mkt&amp;HR"/>
    <n v="58.81"/>
    <s v="Pass"/>
    <x v="1"/>
    <n v="0"/>
    <n v="0"/>
  </r>
  <r>
    <n v="122"/>
    <s v="Female"/>
    <n v="64"/>
    <s v="Central"/>
    <n v="67"/>
    <s v="Others"/>
    <x v="1"/>
    <n v="69.599999999999994"/>
    <s v="Sci&amp;Tech"/>
    <s v="Yes"/>
    <n v="55.67"/>
    <s v="Mkt&amp;HR"/>
    <n v="71.489999999999995"/>
    <s v="First Call"/>
    <x v="0"/>
    <n v="1"/>
    <n v="250000"/>
  </r>
  <r>
    <n v="123"/>
    <s v="Female"/>
    <n v="66.5"/>
    <s v="Central"/>
    <n v="66.8"/>
    <s v="Central"/>
    <x v="2"/>
    <n v="69.3"/>
    <s v="Comm&amp;Mgmt"/>
    <s v="Yes"/>
    <n v="80.400000000000006"/>
    <s v="Mkt&amp;Fin"/>
    <n v="71"/>
    <s v="First Call"/>
    <x v="0"/>
    <n v="1"/>
    <n v="236000"/>
  </r>
  <r>
    <n v="124"/>
    <s v="Male"/>
    <n v="74"/>
    <s v="Others"/>
    <n v="59"/>
    <s v="Others"/>
    <x v="0"/>
    <n v="73"/>
    <s v="Comm&amp;Mgmt"/>
    <s v="Yes"/>
    <n v="60"/>
    <s v="Mkt&amp;HR"/>
    <n v="56.7"/>
    <s v="Pass"/>
    <x v="0"/>
    <n v="1"/>
    <n v="240000"/>
  </r>
  <r>
    <n v="125"/>
    <s v="Male"/>
    <n v="67"/>
    <s v="Central"/>
    <n v="71"/>
    <s v="Central"/>
    <x v="1"/>
    <n v="64.33"/>
    <s v="Others"/>
    <s v="Yes"/>
    <n v="64"/>
    <s v="Mkt&amp;HR"/>
    <n v="61.26"/>
    <s v="First Call"/>
    <x v="0"/>
    <n v="1"/>
    <n v="250000"/>
  </r>
  <r>
    <n v="126"/>
    <s v="Female"/>
    <n v="84"/>
    <s v="Central"/>
    <n v="73"/>
    <s v="Central"/>
    <x v="0"/>
    <n v="73"/>
    <s v="Comm&amp;Mgmt"/>
    <s v="No"/>
    <n v="75"/>
    <s v="Mkt&amp;Fin"/>
    <n v="73.33"/>
    <s v="First Call"/>
    <x v="0"/>
    <n v="1"/>
    <n v="350000"/>
  </r>
  <r>
    <n v="127"/>
    <s v="Female"/>
    <n v="79"/>
    <s v="Others"/>
    <n v="61"/>
    <s v="Others"/>
    <x v="1"/>
    <n v="75.5"/>
    <s v="Sci&amp;Tech"/>
    <s v="Yes"/>
    <n v="70"/>
    <s v="Mkt&amp;Fin"/>
    <n v="68.2"/>
    <s v="First Call"/>
    <x v="0"/>
    <n v="1"/>
    <n v="210000"/>
  </r>
  <r>
    <n v="128"/>
    <s v="Female"/>
    <n v="72"/>
    <s v="Others"/>
    <n v="60"/>
    <s v="Others"/>
    <x v="1"/>
    <n v="69"/>
    <s v="Comm&amp;Mgmt"/>
    <s v="No"/>
    <n v="55.5"/>
    <s v="Mkt&amp;HR"/>
    <n v="58.4"/>
    <s v="Pass"/>
    <x v="0"/>
    <n v="1"/>
    <n v="250000"/>
  </r>
  <r>
    <n v="129"/>
    <s v="Male"/>
    <n v="80.400000000000006"/>
    <s v="Central"/>
    <n v="73.400000000000006"/>
    <s v="Central"/>
    <x v="1"/>
    <n v="77.72"/>
    <s v="Sci&amp;Tech"/>
    <s v="Yes"/>
    <n v="81.2"/>
    <s v="Mkt&amp;HR"/>
    <n v="76.260000000000005"/>
    <s v="Distinction"/>
    <x v="0"/>
    <n v="1"/>
    <n v="400000"/>
  </r>
  <r>
    <n v="130"/>
    <s v="Male"/>
    <n v="76.7"/>
    <s v="Central"/>
    <n v="89.7"/>
    <s v="Others"/>
    <x v="0"/>
    <n v="66"/>
    <s v="Comm&amp;Mgmt"/>
    <s v="Yes"/>
    <n v="90"/>
    <s v="Mkt&amp;Fin"/>
    <n v="68.55"/>
    <s v="First Call"/>
    <x v="0"/>
    <n v="1"/>
    <n v="250000"/>
  </r>
  <r>
    <n v="131"/>
    <s v="Male"/>
    <n v="62"/>
    <s v="Central"/>
    <n v="65"/>
    <s v="Others"/>
    <x v="0"/>
    <n v="60"/>
    <s v="Comm&amp;Mgmt"/>
    <s v="No"/>
    <n v="84"/>
    <s v="Mkt&amp;Fin"/>
    <n v="64.150000000000006"/>
    <s v="First Call"/>
    <x v="1"/>
    <n v="0"/>
    <n v="0"/>
  </r>
  <r>
    <n v="132"/>
    <s v="Female"/>
    <n v="74.900000000000006"/>
    <s v="Others"/>
    <n v="57"/>
    <s v="Others"/>
    <x v="1"/>
    <n v="62"/>
    <s v="Others"/>
    <s v="Yes"/>
    <n v="80"/>
    <s v="Mkt&amp;Fin"/>
    <n v="60.78"/>
    <s v="First Call"/>
    <x v="0"/>
    <n v="1"/>
    <n v="360000"/>
  </r>
  <r>
    <n v="133"/>
    <s v="Male"/>
    <n v="67"/>
    <s v="Others"/>
    <n v="68"/>
    <s v="Others"/>
    <x v="0"/>
    <n v="64"/>
    <s v="Comm&amp;Mgmt"/>
    <s v="Yes"/>
    <n v="74.400000000000006"/>
    <s v="Mkt&amp;HR"/>
    <n v="53.49"/>
    <s v="Pass"/>
    <x v="0"/>
    <n v="1"/>
    <n v="300000"/>
  </r>
  <r>
    <n v="134"/>
    <s v="Male"/>
    <n v="73"/>
    <s v="Central"/>
    <n v="64"/>
    <s v="Others"/>
    <x v="0"/>
    <n v="77"/>
    <s v="Comm&amp;Mgmt"/>
    <s v="Yes"/>
    <n v="65"/>
    <s v="Mkt&amp;HR"/>
    <n v="60.98"/>
    <s v="First Call"/>
    <x v="0"/>
    <n v="1"/>
    <n v="250000"/>
  </r>
  <r>
    <n v="135"/>
    <s v="Female"/>
    <n v="77.44"/>
    <s v="Central"/>
    <n v="92"/>
    <s v="Others"/>
    <x v="0"/>
    <n v="72"/>
    <s v="Comm&amp;Mgmt"/>
    <s v="Yes"/>
    <n v="94"/>
    <s v="Mkt&amp;Fin"/>
    <n v="67.13"/>
    <s v="First Call"/>
    <x v="0"/>
    <n v="1"/>
    <n v="250000"/>
  </r>
  <r>
    <n v="136"/>
    <s v="Female"/>
    <n v="72"/>
    <s v="Central"/>
    <n v="56"/>
    <s v="Others"/>
    <x v="1"/>
    <n v="69"/>
    <s v="Comm&amp;Mgmt"/>
    <s v="No"/>
    <n v="55.6"/>
    <s v="Mkt&amp;HR"/>
    <n v="65.63"/>
    <s v="First Call"/>
    <x v="0"/>
    <n v="1"/>
    <n v="200000"/>
  </r>
  <r>
    <n v="137"/>
    <s v="Female"/>
    <n v="47"/>
    <s v="Central"/>
    <n v="59"/>
    <s v="Central"/>
    <x v="2"/>
    <n v="64"/>
    <s v="Comm&amp;Mgmt"/>
    <s v="No"/>
    <n v="78"/>
    <s v="Mkt&amp;Fin"/>
    <n v="61.58"/>
    <s v="First Call"/>
    <x v="1"/>
    <n v="0"/>
    <n v="0"/>
  </r>
  <r>
    <n v="138"/>
    <s v="Male"/>
    <n v="67"/>
    <s v="Others"/>
    <n v="63"/>
    <s v="Central"/>
    <x v="0"/>
    <n v="72"/>
    <s v="Comm&amp;Mgmt"/>
    <s v="No"/>
    <n v="56"/>
    <s v="Mkt&amp;HR"/>
    <n v="60.41"/>
    <s v="First Call"/>
    <x v="0"/>
    <n v="1"/>
    <n v="225000"/>
  </r>
  <r>
    <n v="139"/>
    <s v="Female"/>
    <n v="82"/>
    <s v="Others"/>
    <n v="64"/>
    <s v="Others"/>
    <x v="1"/>
    <n v="73"/>
    <s v="Sci&amp;Tech"/>
    <s v="Yes"/>
    <n v="96"/>
    <s v="Mkt&amp;Fin"/>
    <n v="71.77"/>
    <s v="First Call"/>
    <x v="0"/>
    <n v="1"/>
    <n v="250000"/>
  </r>
  <r>
    <n v="140"/>
    <s v="Male"/>
    <n v="77"/>
    <s v="Central"/>
    <n v="70"/>
    <s v="Central"/>
    <x v="0"/>
    <n v="59"/>
    <s v="Comm&amp;Mgmt"/>
    <s v="Yes"/>
    <n v="58"/>
    <s v="Mkt&amp;Fin"/>
    <n v="54.43"/>
    <s v="Pass"/>
    <x v="0"/>
    <n v="1"/>
    <n v="220000"/>
  </r>
  <r>
    <n v="141"/>
    <s v="Male"/>
    <n v="65"/>
    <s v="Central"/>
    <n v="64.8"/>
    <s v="Others"/>
    <x v="0"/>
    <n v="69.5"/>
    <s v="Comm&amp;Mgmt"/>
    <s v="Yes"/>
    <n v="56"/>
    <s v="Mkt&amp;Fin"/>
    <n v="56.94"/>
    <s v="Pass"/>
    <x v="0"/>
    <n v="1"/>
    <n v="265000"/>
  </r>
  <r>
    <n v="142"/>
    <s v="Male"/>
    <n v="66"/>
    <s v="Central"/>
    <n v="64"/>
    <s v="Central"/>
    <x v="1"/>
    <n v="60"/>
    <s v="Comm&amp;Mgmt"/>
    <s v="No"/>
    <n v="60"/>
    <s v="Mkt&amp;HR"/>
    <n v="61.9"/>
    <s v="First Call"/>
    <x v="1"/>
    <n v="0"/>
    <n v="0"/>
  </r>
  <r>
    <n v="143"/>
    <s v="Male"/>
    <n v="85"/>
    <s v="Central"/>
    <n v="60"/>
    <s v="Others"/>
    <x v="1"/>
    <n v="73.430000000000007"/>
    <s v="Sci&amp;Tech"/>
    <s v="Yes"/>
    <n v="60"/>
    <s v="Mkt&amp;Fin"/>
    <n v="61.29"/>
    <s v="First Call"/>
    <x v="0"/>
    <n v="1"/>
    <n v="260000"/>
  </r>
  <r>
    <n v="144"/>
    <s v="Male"/>
    <n v="77.67"/>
    <s v="Others"/>
    <n v="64.89"/>
    <s v="Others"/>
    <x v="0"/>
    <n v="70.67"/>
    <s v="Comm&amp;Mgmt"/>
    <s v="No"/>
    <n v="89"/>
    <s v="Mkt&amp;Fin"/>
    <n v="60.39"/>
    <s v="First Call"/>
    <x v="0"/>
    <n v="1"/>
    <n v="300000"/>
  </r>
  <r>
    <n v="145"/>
    <s v="Male"/>
    <n v="52"/>
    <s v="Others"/>
    <n v="50"/>
    <s v="Others"/>
    <x v="2"/>
    <n v="61"/>
    <s v="Comm&amp;Mgmt"/>
    <s v="No"/>
    <n v="60"/>
    <s v="Mkt&amp;Fin"/>
    <n v="58.52"/>
    <s v="Pass"/>
    <x v="1"/>
    <n v="0"/>
    <n v="0"/>
  </r>
  <r>
    <n v="146"/>
    <s v="Male"/>
    <n v="89.4"/>
    <s v="Others"/>
    <n v="65.66"/>
    <s v="Others"/>
    <x v="1"/>
    <n v="71.25"/>
    <s v="Sci&amp;Tech"/>
    <s v="No"/>
    <n v="72"/>
    <s v="Mkt&amp;HR"/>
    <n v="63.23"/>
    <s v="First Call"/>
    <x v="0"/>
    <n v="1"/>
    <n v="400000"/>
  </r>
  <r>
    <n v="147"/>
    <s v="Male"/>
    <n v="62"/>
    <s v="Central"/>
    <n v="63"/>
    <s v="Others"/>
    <x v="1"/>
    <n v="66"/>
    <s v="Comm&amp;Mgmt"/>
    <s v="No"/>
    <n v="85"/>
    <s v="Mkt&amp;HR"/>
    <n v="55.14"/>
    <s v="Pass"/>
    <x v="0"/>
    <n v="1"/>
    <n v="233000"/>
  </r>
  <r>
    <n v="148"/>
    <s v="Male"/>
    <n v="70"/>
    <s v="Central"/>
    <n v="74"/>
    <s v="Central"/>
    <x v="0"/>
    <n v="65"/>
    <s v="Comm&amp;Mgmt"/>
    <s v="No"/>
    <n v="83"/>
    <s v="Mkt&amp;Fin"/>
    <n v="62.28"/>
    <s v="First Call"/>
    <x v="0"/>
    <n v="1"/>
    <n v="300000"/>
  </r>
  <r>
    <n v="149"/>
    <s v="Female"/>
    <n v="77"/>
    <s v="Central"/>
    <n v="86"/>
    <s v="Central"/>
    <x v="2"/>
    <n v="56"/>
    <s v="Others"/>
    <s v="No"/>
    <n v="57"/>
    <s v="Mkt&amp;Fin"/>
    <n v="64.08"/>
    <s v="First Call"/>
    <x v="0"/>
    <n v="1"/>
    <n v="240000"/>
  </r>
  <r>
    <n v="150"/>
    <s v="Male"/>
    <n v="44"/>
    <s v="Central"/>
    <n v="58"/>
    <s v="Central"/>
    <x v="2"/>
    <n v="55"/>
    <s v="Comm&amp;Mgmt"/>
    <s v="Yes"/>
    <n v="64.25"/>
    <s v="Mkt&amp;HR"/>
    <n v="58.54"/>
    <s v="Pass"/>
    <x v="1"/>
    <n v="0"/>
    <n v="0"/>
  </r>
  <r>
    <n v="151"/>
    <s v="Male"/>
    <n v="71"/>
    <s v="Central"/>
    <n v="58.66"/>
    <s v="Central"/>
    <x v="1"/>
    <n v="58"/>
    <s v="Sci&amp;Tech"/>
    <s v="Yes"/>
    <n v="56"/>
    <s v="Mkt&amp;Fin"/>
    <n v="61.3"/>
    <s v="First Call"/>
    <x v="0"/>
    <n v="1"/>
    <n v="690000"/>
  </r>
  <r>
    <n v="152"/>
    <s v="Male"/>
    <n v="65"/>
    <s v="Central"/>
    <n v="65"/>
    <s v="Central"/>
    <x v="0"/>
    <n v="75"/>
    <s v="Comm&amp;Mgmt"/>
    <s v="No"/>
    <n v="83"/>
    <s v="Mkt&amp;Fin"/>
    <n v="58.87"/>
    <s v="Pass"/>
    <x v="0"/>
    <n v="1"/>
    <n v="270000"/>
  </r>
  <r>
    <n v="153"/>
    <s v="Female"/>
    <n v="75.400000000000006"/>
    <s v="Others"/>
    <n v="60.5"/>
    <s v="Central"/>
    <x v="1"/>
    <n v="84"/>
    <s v="Sci&amp;Tech"/>
    <s v="No"/>
    <n v="98"/>
    <s v="Mkt&amp;Fin"/>
    <n v="65.25"/>
    <s v="First Call"/>
    <x v="0"/>
    <n v="1"/>
    <n v="240000"/>
  </r>
  <r>
    <n v="154"/>
    <s v="Male"/>
    <n v="49"/>
    <s v="Others"/>
    <n v="59"/>
    <s v="Others"/>
    <x v="1"/>
    <n v="65"/>
    <s v="Sci&amp;Tech"/>
    <s v="Yes"/>
    <n v="86"/>
    <s v="Mkt&amp;Fin"/>
    <n v="62.48"/>
    <s v="First Call"/>
    <x v="0"/>
    <n v="1"/>
    <n v="340000"/>
  </r>
  <r>
    <n v="155"/>
    <s v="Male"/>
    <n v="53"/>
    <s v="Central"/>
    <n v="63"/>
    <s v="Others"/>
    <x v="1"/>
    <n v="60"/>
    <s v="Comm&amp;Mgmt"/>
    <s v="Yes"/>
    <n v="70"/>
    <s v="Mkt&amp;Fin"/>
    <n v="53.2"/>
    <s v="Pass"/>
    <x v="0"/>
    <n v="1"/>
    <n v="250000"/>
  </r>
  <r>
    <n v="156"/>
    <s v="Male"/>
    <n v="51.57"/>
    <s v="Others"/>
    <n v="74.66"/>
    <s v="Others"/>
    <x v="0"/>
    <n v="59.9"/>
    <s v="Comm&amp;Mgmt"/>
    <s v="Yes"/>
    <n v="56.15"/>
    <s v="Mkt&amp;HR"/>
    <n v="65.989999999999995"/>
    <s v="First Call"/>
    <x v="1"/>
    <n v="0"/>
    <n v="0"/>
  </r>
  <r>
    <n v="157"/>
    <s v="Male"/>
    <n v="84.2"/>
    <s v="Central"/>
    <n v="69.400000000000006"/>
    <s v="Central"/>
    <x v="1"/>
    <n v="65"/>
    <s v="Sci&amp;Tech"/>
    <s v="Yes"/>
    <n v="80"/>
    <s v="Mkt&amp;HR"/>
    <n v="52.72"/>
    <s v="Pass"/>
    <x v="0"/>
    <n v="1"/>
    <n v="255000"/>
  </r>
  <r>
    <n v="158"/>
    <s v="Male"/>
    <n v="66.5"/>
    <s v="Central"/>
    <n v="62.5"/>
    <s v="Central"/>
    <x v="0"/>
    <n v="60.9"/>
    <s v="Comm&amp;Mgmt"/>
    <s v="No"/>
    <n v="93.4"/>
    <s v="Mkt&amp;Fin"/>
    <n v="55.03"/>
    <s v="Pass"/>
    <x v="0"/>
    <n v="1"/>
    <n v="300000"/>
  </r>
  <r>
    <n v="159"/>
    <s v="Male"/>
    <n v="67"/>
    <s v="Others"/>
    <n v="63"/>
    <s v="Others"/>
    <x v="1"/>
    <n v="64"/>
    <s v="Sci&amp;Tech"/>
    <s v="No"/>
    <n v="60"/>
    <s v="Mkt&amp;Fin"/>
    <n v="61.87"/>
    <s v="First Call"/>
    <x v="1"/>
    <n v="0"/>
    <n v="0"/>
  </r>
  <r>
    <n v="160"/>
    <s v="Male"/>
    <n v="52"/>
    <s v="Central"/>
    <n v="49"/>
    <s v="Others"/>
    <x v="0"/>
    <n v="58"/>
    <s v="Comm&amp;Mgmt"/>
    <s v="No"/>
    <n v="62"/>
    <s v="Mkt&amp;HR"/>
    <n v="60.59"/>
    <s v="First Call"/>
    <x v="1"/>
    <n v="0"/>
    <n v="0"/>
  </r>
  <r>
    <n v="161"/>
    <s v="Male"/>
    <n v="87"/>
    <s v="Central"/>
    <n v="74"/>
    <s v="Central"/>
    <x v="1"/>
    <n v="65"/>
    <s v="Sci&amp;Tech"/>
    <s v="Yes"/>
    <n v="75"/>
    <s v="Mkt&amp;HR"/>
    <n v="72.290000000000006"/>
    <s v="First Call"/>
    <x v="0"/>
    <n v="1"/>
    <n v="300000"/>
  </r>
  <r>
    <n v="162"/>
    <s v="Male"/>
    <n v="55.6"/>
    <s v="Others"/>
    <n v="51"/>
    <s v="Others"/>
    <x v="0"/>
    <n v="57.5"/>
    <s v="Comm&amp;Mgmt"/>
    <s v="No"/>
    <n v="57.63"/>
    <s v="Mkt&amp;HR"/>
    <n v="62.72"/>
    <s v="First Call"/>
    <x v="1"/>
    <n v="0"/>
    <n v="0"/>
  </r>
  <r>
    <n v="163"/>
    <s v="Male"/>
    <n v="74.2"/>
    <s v="Central"/>
    <n v="87.6"/>
    <s v="Others"/>
    <x v="0"/>
    <n v="77.25"/>
    <s v="Comm&amp;Mgmt"/>
    <s v="Yes"/>
    <n v="75.2"/>
    <s v="Mkt&amp;Fin"/>
    <n v="66.06"/>
    <s v="First Call"/>
    <x v="0"/>
    <n v="1"/>
    <n v="285000"/>
  </r>
  <r>
    <n v="164"/>
    <s v="Male"/>
    <n v="63"/>
    <s v="Others"/>
    <n v="67"/>
    <s v="Others"/>
    <x v="1"/>
    <n v="64"/>
    <s v="Sci&amp;Tech"/>
    <s v="No"/>
    <n v="75"/>
    <s v="Mkt&amp;Fin"/>
    <n v="66.459999999999994"/>
    <s v="First Call"/>
    <x v="0"/>
    <n v="1"/>
    <n v="500000"/>
  </r>
  <r>
    <n v="165"/>
    <s v="Female"/>
    <n v="67.16"/>
    <s v="Central"/>
    <n v="72.5"/>
    <s v="Central"/>
    <x v="0"/>
    <n v="63.35"/>
    <s v="Comm&amp;Mgmt"/>
    <s v="No"/>
    <n v="53.04"/>
    <s v="Mkt&amp;Fin"/>
    <n v="65.52"/>
    <s v="First Call"/>
    <x v="0"/>
    <n v="1"/>
    <n v="250000"/>
  </r>
  <r>
    <n v="166"/>
    <s v="Female"/>
    <n v="63.3"/>
    <s v="Central"/>
    <n v="78.33"/>
    <s v="Others"/>
    <x v="0"/>
    <n v="74"/>
    <s v="Comm&amp;Mgmt"/>
    <s v="No"/>
    <n v="80"/>
    <s v="Mkt&amp;Fin"/>
    <n v="74.56"/>
    <s v="First Call"/>
    <x v="1"/>
    <n v="0"/>
    <n v="0"/>
  </r>
  <r>
    <n v="167"/>
    <s v="Male"/>
    <n v="62"/>
    <s v="Others"/>
    <n v="62"/>
    <s v="Others"/>
    <x v="0"/>
    <n v="60"/>
    <s v="Comm&amp;Mgmt"/>
    <s v="Yes"/>
    <n v="63"/>
    <s v="Mkt&amp;HR"/>
    <n v="52.38"/>
    <s v="Pass"/>
    <x v="0"/>
    <n v="1"/>
    <n v="240000"/>
  </r>
  <r>
    <n v="168"/>
    <s v="Male"/>
    <n v="67.900000000000006"/>
    <s v="Others"/>
    <n v="62"/>
    <s v="Others"/>
    <x v="1"/>
    <n v="67"/>
    <s v="Sci&amp;Tech"/>
    <s v="Yes"/>
    <n v="58.1"/>
    <s v="Mkt&amp;Fin"/>
    <n v="75.709999999999994"/>
    <s v="Distinction"/>
    <x v="1"/>
    <n v="0"/>
    <n v="0"/>
  </r>
  <r>
    <n v="169"/>
    <s v="Female"/>
    <n v="48"/>
    <s v="Central"/>
    <n v="51"/>
    <s v="Central"/>
    <x v="0"/>
    <n v="58"/>
    <s v="Comm&amp;Mgmt"/>
    <s v="Yes"/>
    <n v="60"/>
    <s v="Mkt&amp;HR"/>
    <n v="58.79"/>
    <s v="Pass"/>
    <x v="1"/>
    <n v="0"/>
    <n v="0"/>
  </r>
  <r>
    <n v="170"/>
    <s v="Male"/>
    <n v="59.96"/>
    <s v="Others"/>
    <n v="42.16"/>
    <s v="Others"/>
    <x v="1"/>
    <n v="61.26"/>
    <s v="Sci&amp;Tech"/>
    <s v="No"/>
    <n v="54.48"/>
    <s v="Mkt&amp;HR"/>
    <n v="65.48"/>
    <s v="First Call"/>
    <x v="1"/>
    <n v="0"/>
    <n v="0"/>
  </r>
  <r>
    <n v="171"/>
    <s v="Female"/>
    <n v="63.4"/>
    <s v="Others"/>
    <n v="67.2"/>
    <s v="Others"/>
    <x v="0"/>
    <n v="60"/>
    <s v="Comm&amp;Mgmt"/>
    <s v="No"/>
    <n v="58.06"/>
    <s v="Mkt&amp;HR"/>
    <n v="69.28"/>
    <s v="First Call"/>
    <x v="1"/>
    <n v="0"/>
    <n v="0"/>
  </r>
  <r>
    <n v="172"/>
    <s v="Male"/>
    <n v="80"/>
    <s v="Others"/>
    <n v="80"/>
    <s v="Others"/>
    <x v="0"/>
    <n v="72"/>
    <s v="Comm&amp;Mgmt"/>
    <s v="Yes"/>
    <n v="63.79"/>
    <s v="Mkt&amp;Fin"/>
    <n v="66.040000000000006"/>
    <s v="First Call"/>
    <x v="0"/>
    <n v="1"/>
    <n v="290000"/>
  </r>
  <r>
    <n v="173"/>
    <s v="Male"/>
    <n v="73"/>
    <s v="Others"/>
    <n v="58"/>
    <s v="Others"/>
    <x v="0"/>
    <n v="56"/>
    <s v="Comm&amp;Mgmt"/>
    <s v="No"/>
    <n v="84"/>
    <s v="Mkt&amp;HR"/>
    <n v="52.64"/>
    <s v="Pass"/>
    <x v="0"/>
    <n v="1"/>
    <n v="300000"/>
  </r>
  <r>
    <n v="174"/>
    <s v="Female"/>
    <n v="52"/>
    <s v="Others"/>
    <n v="52"/>
    <s v="Others"/>
    <x v="1"/>
    <n v="55"/>
    <s v="Sci&amp;Tech"/>
    <s v="No"/>
    <n v="67"/>
    <s v="Mkt&amp;HR"/>
    <n v="59.32"/>
    <s v="Pass"/>
    <x v="1"/>
    <n v="0"/>
    <n v="0"/>
  </r>
  <r>
    <n v="175"/>
    <s v="Male"/>
    <n v="73.239999999999995"/>
    <s v="Others"/>
    <n v="50.83"/>
    <s v="Others"/>
    <x v="1"/>
    <n v="64.27"/>
    <s v="Sci&amp;Tech"/>
    <s v="Yes"/>
    <n v="64"/>
    <s v="Mkt&amp;Fin"/>
    <n v="66.23"/>
    <s v="First Call"/>
    <x v="0"/>
    <n v="1"/>
    <n v="500000"/>
  </r>
  <r>
    <n v="176"/>
    <s v="Male"/>
    <n v="63"/>
    <s v="Others"/>
    <n v="62"/>
    <s v="Others"/>
    <x v="1"/>
    <n v="65"/>
    <s v="Sci&amp;Tech"/>
    <s v="No"/>
    <n v="87.5"/>
    <s v="Mkt&amp;HR"/>
    <n v="60.69"/>
    <s v="First Call"/>
    <x v="1"/>
    <n v="0"/>
    <n v="0"/>
  </r>
  <r>
    <n v="177"/>
    <s v="Female"/>
    <n v="59"/>
    <s v="Central"/>
    <n v="60"/>
    <s v="Others"/>
    <x v="0"/>
    <n v="56"/>
    <s v="Comm&amp;Mgmt"/>
    <s v="No"/>
    <n v="55"/>
    <s v="Mkt&amp;HR"/>
    <n v="57.9"/>
    <s v="Pass"/>
    <x v="0"/>
    <n v="1"/>
    <n v="220000"/>
  </r>
  <r>
    <n v="178"/>
    <s v="Female"/>
    <n v="73"/>
    <s v="Central"/>
    <n v="97"/>
    <s v="Others"/>
    <x v="0"/>
    <n v="79"/>
    <s v="Comm&amp;Mgmt"/>
    <s v="Yes"/>
    <n v="89"/>
    <s v="Mkt&amp;Fin"/>
    <n v="70.81"/>
    <s v="First Call"/>
    <x v="0"/>
    <n v="1"/>
    <n v="650000"/>
  </r>
  <r>
    <n v="179"/>
    <s v="Male"/>
    <n v="68"/>
    <s v="Others"/>
    <n v="56"/>
    <s v="Others"/>
    <x v="1"/>
    <n v="68"/>
    <s v="Sci&amp;Tech"/>
    <s v="No"/>
    <n v="73"/>
    <s v="Mkt&amp;HR"/>
    <n v="68.069999999999993"/>
    <s v="First Call"/>
    <x v="0"/>
    <n v="1"/>
    <n v="350000"/>
  </r>
  <r>
    <n v="180"/>
    <s v="Female"/>
    <n v="77.8"/>
    <s v="Central"/>
    <n v="64"/>
    <s v="Central"/>
    <x v="1"/>
    <n v="64.2"/>
    <s v="Sci&amp;Tech"/>
    <s v="No"/>
    <n v="75.5"/>
    <s v="Mkt&amp;HR"/>
    <n v="72.14"/>
    <s v="First Call"/>
    <x v="1"/>
    <n v="0"/>
    <n v="0"/>
  </r>
  <r>
    <n v="181"/>
    <s v="Male"/>
    <n v="65"/>
    <s v="Central"/>
    <n v="71.5"/>
    <s v="Others"/>
    <x v="0"/>
    <n v="62.8"/>
    <s v="Comm&amp;Mgmt"/>
    <s v="Yes"/>
    <n v="57"/>
    <s v="Mkt&amp;Fin"/>
    <n v="56.6"/>
    <s v="Pass"/>
    <x v="0"/>
    <n v="1"/>
    <n v="265000"/>
  </r>
  <r>
    <n v="182"/>
    <s v="Male"/>
    <n v="62"/>
    <s v="Central"/>
    <n v="60.33"/>
    <s v="Others"/>
    <x v="1"/>
    <n v="64.209999999999994"/>
    <s v="Sci&amp;Tech"/>
    <s v="No"/>
    <n v="63"/>
    <s v="Mkt&amp;HR"/>
    <n v="60.02"/>
    <s v="First Call"/>
    <x v="1"/>
    <n v="0"/>
    <n v="0"/>
  </r>
  <r>
    <n v="183"/>
    <s v="Male"/>
    <n v="52"/>
    <s v="Others"/>
    <n v="65"/>
    <s v="Others"/>
    <x v="2"/>
    <n v="57"/>
    <s v="Others"/>
    <s v="Yes"/>
    <n v="75"/>
    <s v="Mkt&amp;Fin"/>
    <n v="59.81"/>
    <s v="Pass"/>
    <x v="1"/>
    <n v="0"/>
    <n v="0"/>
  </r>
  <r>
    <n v="184"/>
    <s v="Male"/>
    <n v="65"/>
    <s v="Central"/>
    <n v="77"/>
    <s v="Central"/>
    <x v="0"/>
    <n v="69"/>
    <s v="Comm&amp;Mgmt"/>
    <s v="No"/>
    <n v="60"/>
    <s v="Mkt&amp;HR"/>
    <n v="61.82"/>
    <s v="First Call"/>
    <x v="0"/>
    <n v="1"/>
    <n v="276000"/>
  </r>
  <r>
    <n v="185"/>
    <s v="Female"/>
    <n v="56.28"/>
    <s v="Others"/>
    <n v="62.83"/>
    <s v="Others"/>
    <x v="0"/>
    <n v="59.79"/>
    <s v="Comm&amp;Mgmt"/>
    <s v="No"/>
    <n v="60"/>
    <s v="Mkt&amp;HR"/>
    <n v="57.29"/>
    <s v="Pass"/>
    <x v="1"/>
    <n v="0"/>
    <n v="0"/>
  </r>
  <r>
    <n v="186"/>
    <s v="Female"/>
    <n v="88"/>
    <s v="Central"/>
    <n v="72"/>
    <s v="Central"/>
    <x v="1"/>
    <n v="78"/>
    <s v="Others"/>
    <s v="No"/>
    <n v="82"/>
    <s v="Mkt&amp;HR"/>
    <n v="71.430000000000007"/>
    <s v="First Call"/>
    <x v="0"/>
    <n v="1"/>
    <n v="252000"/>
  </r>
  <r>
    <n v="187"/>
    <s v="Female"/>
    <n v="52"/>
    <s v="Central"/>
    <n v="64"/>
    <s v="Central"/>
    <x v="0"/>
    <n v="61"/>
    <s v="Comm&amp;Mgmt"/>
    <s v="No"/>
    <n v="55"/>
    <s v="Mkt&amp;Fin"/>
    <n v="62.93"/>
    <s v="First Call"/>
    <x v="1"/>
    <n v="0"/>
    <n v="0"/>
  </r>
  <r>
    <n v="188"/>
    <s v="Male"/>
    <n v="78.5"/>
    <s v="Central"/>
    <n v="65.5"/>
    <s v="Central"/>
    <x v="1"/>
    <n v="67"/>
    <s v="Sci&amp;Tech"/>
    <s v="Yes"/>
    <n v="95"/>
    <s v="Mkt&amp;Fin"/>
    <n v="64.86"/>
    <s v="First Call"/>
    <x v="0"/>
    <n v="1"/>
    <n v="280000"/>
  </r>
  <r>
    <n v="189"/>
    <s v="Male"/>
    <n v="61.8"/>
    <s v="Others"/>
    <n v="47"/>
    <s v="Others"/>
    <x v="0"/>
    <n v="54.38"/>
    <s v="Comm&amp;Mgmt"/>
    <s v="No"/>
    <n v="57"/>
    <s v="Mkt&amp;Fin"/>
    <n v="56.13"/>
    <s v="Pass"/>
    <x v="1"/>
    <n v="0"/>
    <n v="0"/>
  </r>
  <r>
    <n v="190"/>
    <s v="Female"/>
    <n v="54"/>
    <s v="Central"/>
    <n v="77.599999999999994"/>
    <s v="Others"/>
    <x v="0"/>
    <n v="69.2"/>
    <s v="Comm&amp;Mgmt"/>
    <s v="No"/>
    <n v="95.65"/>
    <s v="Mkt&amp;Fin"/>
    <n v="66.94"/>
    <s v="First Call"/>
    <x v="1"/>
    <n v="0"/>
    <n v="0"/>
  </r>
  <r>
    <n v="191"/>
    <s v="Female"/>
    <n v="64"/>
    <s v="Others"/>
    <n v="70.2"/>
    <s v="Central"/>
    <x v="0"/>
    <n v="61"/>
    <s v="Comm&amp;Mgmt"/>
    <s v="No"/>
    <n v="50"/>
    <s v="Mkt&amp;Fin"/>
    <n v="62.5"/>
    <s v="First Call"/>
    <x v="1"/>
    <n v="0"/>
    <n v="0"/>
  </r>
  <r>
    <n v="192"/>
    <s v="Male"/>
    <n v="67"/>
    <s v="Others"/>
    <n v="61"/>
    <s v="Central"/>
    <x v="1"/>
    <n v="72"/>
    <s v="Comm&amp;Mgmt"/>
    <s v="No"/>
    <n v="72"/>
    <s v="Mkt&amp;Fin"/>
    <n v="61.01"/>
    <s v="First Call"/>
    <x v="0"/>
    <n v="1"/>
    <n v="264000"/>
  </r>
  <r>
    <n v="193"/>
    <s v="Male"/>
    <n v="65.2"/>
    <s v="Central"/>
    <n v="61.4"/>
    <s v="Central"/>
    <x v="0"/>
    <n v="64.8"/>
    <s v="Comm&amp;Mgmt"/>
    <s v="Yes"/>
    <n v="93.4"/>
    <s v="Mkt&amp;Fin"/>
    <n v="57.34"/>
    <s v="Pass"/>
    <x v="0"/>
    <n v="1"/>
    <n v="270000"/>
  </r>
  <r>
    <n v="194"/>
    <s v="Female"/>
    <n v="60"/>
    <s v="Central"/>
    <n v="63"/>
    <s v="Central"/>
    <x v="2"/>
    <n v="56"/>
    <s v="Others"/>
    <s v="Yes"/>
    <n v="80"/>
    <s v="Mkt&amp;HR"/>
    <n v="56.63"/>
    <s v="Pass"/>
    <x v="0"/>
    <n v="1"/>
    <n v="300000"/>
  </r>
  <r>
    <n v="195"/>
    <s v="Male"/>
    <n v="52"/>
    <s v="Others"/>
    <n v="55"/>
    <s v="Others"/>
    <x v="0"/>
    <n v="56.3"/>
    <s v="Comm&amp;Mgmt"/>
    <s v="No"/>
    <n v="59"/>
    <s v="Mkt&amp;Fin"/>
    <n v="64.739999999999995"/>
    <s v="First Call"/>
    <x v="1"/>
    <n v="0"/>
    <n v="0"/>
  </r>
  <r>
    <n v="196"/>
    <s v="Male"/>
    <n v="66"/>
    <s v="Central"/>
    <n v="76"/>
    <s v="Central"/>
    <x v="0"/>
    <n v="72"/>
    <s v="Comm&amp;Mgmt"/>
    <s v="Yes"/>
    <n v="84"/>
    <s v="Mkt&amp;HR"/>
    <n v="58.95"/>
    <s v="Pass"/>
    <x v="0"/>
    <n v="1"/>
    <n v="275000"/>
  </r>
  <r>
    <n v="197"/>
    <s v="Male"/>
    <n v="72"/>
    <s v="Others"/>
    <n v="63"/>
    <s v="Others"/>
    <x v="1"/>
    <n v="77.5"/>
    <s v="Sci&amp;Tech"/>
    <s v="Yes"/>
    <n v="78"/>
    <s v="Mkt&amp;Fin"/>
    <n v="54.48"/>
    <s v="Pass"/>
    <x v="0"/>
    <n v="1"/>
    <n v="250000"/>
  </r>
  <r>
    <n v="198"/>
    <s v="Female"/>
    <n v="83.96"/>
    <s v="Others"/>
    <n v="53"/>
    <s v="Others"/>
    <x v="1"/>
    <n v="91"/>
    <s v="Sci&amp;Tech"/>
    <s v="No"/>
    <n v="59.32"/>
    <s v="Mkt&amp;HR"/>
    <n v="69.709999999999994"/>
    <s v="First Call"/>
    <x v="0"/>
    <n v="1"/>
    <n v="260000"/>
  </r>
  <r>
    <n v="199"/>
    <s v="Female"/>
    <n v="67"/>
    <s v="Central"/>
    <n v="70"/>
    <s v="Central"/>
    <x v="0"/>
    <n v="65"/>
    <s v="Others"/>
    <s v="No"/>
    <n v="88"/>
    <s v="Mkt&amp;HR"/>
    <n v="71.959999999999994"/>
    <s v="First Call"/>
    <x v="1"/>
    <n v="0"/>
    <n v="0"/>
  </r>
  <r>
    <n v="200"/>
    <s v="Male"/>
    <n v="69"/>
    <s v="Others"/>
    <n v="65"/>
    <s v="Others"/>
    <x v="0"/>
    <n v="57"/>
    <s v="Comm&amp;Mgmt"/>
    <s v="No"/>
    <n v="73"/>
    <s v="Mkt&amp;HR"/>
    <n v="55.8"/>
    <s v="Pass"/>
    <x v="0"/>
    <n v="1"/>
    <n v="265000"/>
  </r>
  <r>
    <n v="201"/>
    <s v="Male"/>
    <n v="69"/>
    <s v="Others"/>
    <n v="60"/>
    <s v="Others"/>
    <x v="0"/>
    <n v="65"/>
    <s v="Comm&amp;Mgmt"/>
    <s v="No"/>
    <n v="87.55"/>
    <s v="Mkt&amp;Fin"/>
    <n v="52.81"/>
    <s v="Pass"/>
    <x v="0"/>
    <n v="1"/>
    <n v="300000"/>
  </r>
  <r>
    <n v="202"/>
    <s v="Male"/>
    <n v="54.2"/>
    <s v="Central"/>
    <n v="63"/>
    <s v="Others"/>
    <x v="1"/>
    <n v="58"/>
    <s v="Comm&amp;Mgmt"/>
    <s v="No"/>
    <n v="79"/>
    <s v="Mkt&amp;HR"/>
    <n v="58.44"/>
    <s v="Pass"/>
    <x v="1"/>
    <n v="0"/>
    <n v="0"/>
  </r>
  <r>
    <n v="203"/>
    <s v="Male"/>
    <n v="70"/>
    <s v="Central"/>
    <n v="63"/>
    <s v="Central"/>
    <x v="1"/>
    <n v="66"/>
    <s v="Sci&amp;Tech"/>
    <s v="No"/>
    <n v="61.28"/>
    <s v="Mkt&amp;HR"/>
    <n v="60.11"/>
    <s v="First Call"/>
    <x v="0"/>
    <n v="1"/>
    <n v="240000"/>
  </r>
  <r>
    <n v="204"/>
    <s v="Male"/>
    <n v="55.68"/>
    <s v="Others"/>
    <n v="61.33"/>
    <s v="Others"/>
    <x v="0"/>
    <n v="56.87"/>
    <s v="Comm&amp;Mgmt"/>
    <s v="No"/>
    <n v="66"/>
    <s v="Mkt&amp;HR"/>
    <n v="58.3"/>
    <s v="Pass"/>
    <x v="0"/>
    <n v="1"/>
    <n v="260000"/>
  </r>
  <r>
    <n v="205"/>
    <s v="Female"/>
    <n v="74"/>
    <s v="Others"/>
    <n v="73"/>
    <s v="Others"/>
    <x v="0"/>
    <n v="73"/>
    <s v="Comm&amp;Mgmt"/>
    <s v="Yes"/>
    <n v="80"/>
    <s v="Mkt&amp;Fin"/>
    <n v="67.69"/>
    <s v="First Call"/>
    <x v="0"/>
    <n v="1"/>
    <n v="210000"/>
  </r>
  <r>
    <n v="206"/>
    <s v="Male"/>
    <n v="61"/>
    <s v="Others"/>
    <n v="62"/>
    <s v="Others"/>
    <x v="0"/>
    <n v="65"/>
    <s v="Comm&amp;Mgmt"/>
    <s v="No"/>
    <n v="62"/>
    <s v="Mkt&amp;Fin"/>
    <n v="56.81"/>
    <s v="Pass"/>
    <x v="0"/>
    <n v="1"/>
    <n v="250000"/>
  </r>
  <r>
    <n v="207"/>
    <s v="Male"/>
    <n v="41"/>
    <s v="Central"/>
    <n v="42"/>
    <s v="Central"/>
    <x v="1"/>
    <n v="60"/>
    <s v="Comm&amp;Mgmt"/>
    <s v="No"/>
    <n v="97"/>
    <s v="Mkt&amp;Fin"/>
    <n v="53.39"/>
    <s v="Pass"/>
    <x v="1"/>
    <n v="0"/>
    <n v="0"/>
  </r>
  <r>
    <n v="208"/>
    <s v="Male"/>
    <n v="83.33"/>
    <s v="Central"/>
    <n v="78"/>
    <s v="Others"/>
    <x v="0"/>
    <n v="61"/>
    <s v="Comm&amp;Mgmt"/>
    <s v="Yes"/>
    <n v="88.56"/>
    <s v="Mkt&amp;Fin"/>
    <n v="71.55"/>
    <s v="First Call"/>
    <x v="0"/>
    <n v="1"/>
    <n v="300000"/>
  </r>
  <r>
    <n v="209"/>
    <s v="Female"/>
    <n v="43"/>
    <s v="Central"/>
    <n v="60"/>
    <s v="Others"/>
    <x v="1"/>
    <n v="65"/>
    <s v="Comm&amp;Mgmt"/>
    <s v="No"/>
    <n v="92.66"/>
    <s v="Mkt&amp;HR"/>
    <n v="62.92"/>
    <s v="First Call"/>
    <x v="1"/>
    <n v="0"/>
    <n v="0"/>
  </r>
  <r>
    <n v="210"/>
    <s v="Male"/>
    <n v="62"/>
    <s v="Central"/>
    <n v="72"/>
    <s v="Central"/>
    <x v="0"/>
    <n v="65"/>
    <s v="Comm&amp;Mgmt"/>
    <s v="No"/>
    <n v="67"/>
    <s v="Mkt&amp;Fin"/>
    <n v="56.49"/>
    <s v="Pass"/>
    <x v="0"/>
    <n v="1"/>
    <n v="216000"/>
  </r>
  <r>
    <n v="211"/>
    <s v="Male"/>
    <n v="80.599999999999994"/>
    <s v="Others"/>
    <n v="82"/>
    <s v="Others"/>
    <x v="0"/>
    <n v="77.599999999999994"/>
    <s v="Comm&amp;Mgmt"/>
    <s v="No"/>
    <n v="91"/>
    <s v="Mkt&amp;Fin"/>
    <n v="74.489999999999995"/>
    <s v="First Call"/>
    <x v="0"/>
    <n v="1"/>
    <n v="400000"/>
  </r>
  <r>
    <n v="212"/>
    <s v="Male"/>
    <n v="58"/>
    <s v="Others"/>
    <n v="60"/>
    <s v="Others"/>
    <x v="1"/>
    <n v="72"/>
    <s v="Sci&amp;Tech"/>
    <s v="No"/>
    <n v="74"/>
    <s v="Mkt&amp;Fin"/>
    <n v="53.62"/>
    <s v="Pass"/>
    <x v="0"/>
    <n v="1"/>
    <n v="275000"/>
  </r>
  <r>
    <n v="213"/>
    <s v="Male"/>
    <n v="67"/>
    <s v="Others"/>
    <n v="67"/>
    <s v="Others"/>
    <x v="0"/>
    <n v="73"/>
    <s v="Comm&amp;Mgmt"/>
    <s v="Yes"/>
    <n v="59"/>
    <s v="Mkt&amp;Fin"/>
    <n v="69.72"/>
    <s v="First Call"/>
    <x v="0"/>
    <n v="1"/>
    <n v="295000"/>
  </r>
  <r>
    <n v="214"/>
    <s v="Female"/>
    <n v="74"/>
    <s v="Others"/>
    <n v="66"/>
    <s v="Others"/>
    <x v="0"/>
    <n v="58"/>
    <s v="Comm&amp;Mgmt"/>
    <s v="No"/>
    <n v="70"/>
    <s v="Mkt&amp;HR"/>
    <n v="60.23"/>
    <s v="First Call"/>
    <x v="0"/>
    <n v="1"/>
    <n v="204000"/>
  </r>
  <r>
    <n v="215"/>
    <s v="Male"/>
    <n v="62"/>
    <s v="Central"/>
    <n v="58"/>
    <s v="Others"/>
    <x v="1"/>
    <n v="53"/>
    <s v="Comm&amp;Mgmt"/>
    <s v="No"/>
    <n v="89"/>
    <s v="Mkt&amp;HR"/>
    <n v="60.22"/>
    <s v="First Call"/>
    <x v="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F6D990-F371-4756-B0C2-C02D7C21A8D0}" name="Placement_asper_depart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8" firstHeaderRow="1" firstDataRow="2" firstDataCol="1"/>
  <pivotFields count="17">
    <pivotField showAll="0"/>
    <pivotField showAll="0"/>
    <pivotField numFmtId="164" showAll="0"/>
    <pivotField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numFmtId="164" showAll="0"/>
    <pivotField showAll="0"/>
    <pivotField numFmtId="164" showAll="0"/>
    <pivotField showAll="0"/>
    <pivotField axis="axisCol" dataField="1" showAll="0">
      <items count="3">
        <item x="1"/>
        <item x="0"/>
        <item t="default"/>
      </items>
    </pivotField>
    <pivotField showAll="0"/>
    <pivotField numFmtId="165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Count of Status" fld="14" subtotal="count" baseField="0" baseItem="0"/>
  </dataFields>
  <chartFormats count="4">
    <chartFormat chart="0" format="7" series="1">
      <pivotArea type="data" outline="0" fieldPosition="0">
        <references count="1">
          <reference field="14" count="1" selected="0">
            <x v="1"/>
          </reference>
        </references>
      </pivotArea>
    </chartFormat>
    <chartFormat chart="0" format="8" series="1">
      <pivotArea type="data" outline="0" fieldPosition="0">
        <references count="1">
          <reference field="14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7A07D-5FAB-4BDA-84E5-990DC17ACBB1}" name="Number_Of_student_per_departmen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7">
    <pivotField showAll="0"/>
    <pivotField showAll="0"/>
    <pivotField numFmtId="164" showAll="0"/>
    <pivotField showAll="0"/>
    <pivotField numFmtId="164" showAll="0"/>
    <pivotField showAll="0"/>
    <pivotField axis="axisRow" dataField="1" showAll="0">
      <items count="4">
        <item x="2"/>
        <item x="0"/>
        <item x="1"/>
        <item t="default"/>
      </items>
    </pivotField>
    <pivotField numFmtId="164" showAll="0"/>
    <pivotField showAll="0"/>
    <pivotField showAll="0"/>
    <pivotField numFmtId="164" showAll="0"/>
    <pivotField showAll="0"/>
    <pivotField numFmtId="164" showAll="0"/>
    <pivotField showAll="0"/>
    <pivotField showAll="0"/>
    <pivotField showAll="0"/>
    <pivotField numFmtId="165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Hsc_S" fld="6" subtotal="count" baseField="0" baseItem="0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B3F6D7-1FBB-43BB-9270-7E2AB7047832}" name="Table2" displayName="Table2" ref="A1:R216" totalsRowShown="0" headerRowDxfId="41" dataDxfId="40" tableBorderDxfId="39">
  <autoFilter ref="A1:R216" xr:uid="{ECB3F6D7-1FBB-43BB-9270-7E2AB7047832}"/>
  <sortState xmlns:xlrd2="http://schemas.microsoft.com/office/spreadsheetml/2017/richdata2" ref="A2:R216">
    <sortCondition descending="1" ref="K1:K216"/>
  </sortState>
  <tableColumns count="18">
    <tableColumn id="1" xr3:uid="{9C182150-9158-46CB-B343-14E4601F178F}" name="Sl_No" dataDxfId="38" totalsRowDxfId="37"/>
    <tableColumn id="2" xr3:uid="{A1ECF589-A8E6-4389-B4DF-6D203455FC4D}" name="Gender " dataDxfId="36" totalsRowDxfId="35"/>
    <tableColumn id="3" xr3:uid="{CD412E3E-1B0C-4E7A-8BC2-7B70261537E6}" name="Ssc_P" dataDxfId="34" totalsRowDxfId="33"/>
    <tableColumn id="4" xr3:uid="{51BD4BB6-2193-4363-B0A4-51DE4170DD93}" name="Ssc_B" dataDxfId="32" totalsRowDxfId="31"/>
    <tableColumn id="5" xr3:uid="{EE884F6A-0F66-4C15-8BD9-5739DD073A8E}" name="Hsc_P" dataDxfId="30" totalsRowDxfId="29" dataCellStyle="Percent" totalsRowCellStyle="Percent"/>
    <tableColumn id="6" xr3:uid="{2EE8C0D0-FB06-455D-839B-454BA910F95F}" name="Hsc_B" dataDxfId="28" totalsRowDxfId="27"/>
    <tableColumn id="7" xr3:uid="{1ABF0C34-7E46-42C2-A3D4-96548D30EB1A}" name="Hsc_S" dataDxfId="26" totalsRowDxfId="25"/>
    <tableColumn id="8" xr3:uid="{2494797C-B522-412F-B3E8-030BB0A37B21}" name="Degree_P" dataDxfId="24" totalsRowDxfId="23"/>
    <tableColumn id="9" xr3:uid="{7EA18D00-B127-49BE-9A3C-C488B5139F9A}" name="Degree_T" dataDxfId="22" totalsRowDxfId="21"/>
    <tableColumn id="10" xr3:uid="{23BB8626-2077-4178-AFAF-95AAF86AEDAF}" name="Workex" dataDxfId="20" totalsRowDxfId="19"/>
    <tableColumn id="11" xr3:uid="{C16CFA0C-46D0-4AD7-84B1-56C54D8590AF}" name="Etest_P" dataDxfId="18" totalsRowDxfId="17"/>
    <tableColumn id="12" xr3:uid="{BA84707A-561B-4A56-9277-A4C6FBC21520}" name="Specialisation" dataDxfId="16" totalsRowDxfId="15"/>
    <tableColumn id="13" xr3:uid="{45CC2CDB-8271-4167-B799-006191CD9F8F}" name="Mba_P" dataDxfId="14" totalsRowDxfId="13"/>
    <tableColumn id="14" xr3:uid="{29890FA1-9008-4565-B921-EBA26B89C400}" name="Grade" dataDxfId="0" totalsRowDxfId="12">
      <calculatedColumnFormula>IF(M2&gt;75,"Distinction",IF(M2&gt;60,"First Class","Pass"))</calculatedColumnFormula>
    </tableColumn>
    <tableColumn id="15" xr3:uid="{F6480DDA-BE5C-4A24-8D97-445E5172EBEC}" name="Status" dataDxfId="11" totalsRowDxfId="10"/>
    <tableColumn id="19" xr3:uid="{B89B67F3-C88E-4298-B0E8-B460BE5F96AA}" name="Priority" dataDxfId="9" totalsRowDxfId="8">
      <calculatedColumnFormula>IF(AND(Table2[[#This Row],[Workex]]="Yes",Table2[[#This Row],[Degree_P]]&gt;70%),"High Priority", "Standard")</calculatedColumnFormula>
    </tableColumn>
    <tableColumn id="16" xr3:uid="{82DB5C83-D4CF-4625-AAA4-9F51C788C107}" name="Adjusted Salary " dataDxfId="7" totalsRowDxfId="6"/>
    <tableColumn id="20" xr3:uid="{EDDAB568-B9EF-4CEF-A5E7-6915727DE2BC}" name="Salary with potential Sign-up Bonus" dataDxfId="5">
      <calculatedColumnFormula>IF(Table2[[#This Row],[Etest_P]]&gt;90,Table2[[#This Row],[Adjusted Salary ]]+(Table2[[#This Row],[Adjusted Salary ]]*5%),Table2[[#This Row],[Adjusted Salary 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733A-D3D3-4B6D-8ABA-13F3DF5ED384}">
  <sheetPr>
    <tabColor rgb="FFFFFF00"/>
  </sheetPr>
  <dimension ref="A1:R216"/>
  <sheetViews>
    <sheetView workbookViewId="0">
      <selection activeCell="O5" sqref="O5"/>
    </sheetView>
  </sheetViews>
  <sheetFormatPr defaultRowHeight="16.8"/>
  <cols>
    <col min="1" max="1" width="7.7265625" bestFit="1" customWidth="1"/>
    <col min="2" max="2" width="9.26953125" customWidth="1"/>
    <col min="3" max="3" width="7.453125" customWidth="1"/>
    <col min="4" max="4" width="7.54296875" customWidth="1"/>
    <col min="5" max="5" width="7.90625" customWidth="1"/>
    <col min="6" max="6" width="8" customWidth="1"/>
    <col min="7" max="7" width="9.453125" bestFit="1" customWidth="1"/>
    <col min="8" max="8" width="10.6328125" customWidth="1"/>
    <col min="9" max="9" width="12.26953125" bestFit="1" customWidth="1"/>
    <col min="10" max="10" width="9.1796875" customWidth="1"/>
    <col min="11" max="11" width="9" customWidth="1"/>
    <col min="12" max="12" width="14.08984375" customWidth="1"/>
    <col min="13" max="13" width="8.54296875" customWidth="1"/>
    <col min="14" max="14" width="9.54296875" bestFit="1" customWidth="1"/>
    <col min="15" max="15" width="9.7265625" bestFit="1" customWidth="1"/>
    <col min="16" max="16" width="11.08984375" bestFit="1" customWidth="1"/>
    <col min="17" max="17" width="16.453125" style="1" customWidth="1"/>
    <col min="18" max="18" width="33.7265625" bestFit="1" customWidth="1"/>
  </cols>
  <sheetData>
    <row r="1" spans="1:18">
      <c r="A1" s="11" t="s">
        <v>13</v>
      </c>
      <c r="B1" s="11" t="s">
        <v>28</v>
      </c>
      <c r="C1" s="11" t="s">
        <v>15</v>
      </c>
      <c r="D1" s="11" t="s">
        <v>16</v>
      </c>
      <c r="E1" s="11" t="s">
        <v>17</v>
      </c>
      <c r="F1" s="11" t="s">
        <v>18</v>
      </c>
      <c r="G1" s="11" t="s">
        <v>19</v>
      </c>
      <c r="H1" s="11" t="s">
        <v>14</v>
      </c>
      <c r="I1" s="11" t="s">
        <v>20</v>
      </c>
      <c r="J1" s="11" t="s">
        <v>21</v>
      </c>
      <c r="K1" s="11" t="s">
        <v>22</v>
      </c>
      <c r="L1" s="11" t="s">
        <v>23</v>
      </c>
      <c r="M1" s="11" t="s">
        <v>24</v>
      </c>
      <c r="N1" s="11" t="s">
        <v>27</v>
      </c>
      <c r="O1" s="11" t="s">
        <v>25</v>
      </c>
      <c r="P1" s="11" t="s">
        <v>41</v>
      </c>
      <c r="Q1" s="12" t="s">
        <v>26</v>
      </c>
      <c r="R1" s="11" t="s">
        <v>42</v>
      </c>
    </row>
    <row r="2" spans="1:18">
      <c r="A2" s="3">
        <v>153</v>
      </c>
      <c r="B2" s="3" t="s">
        <v>30</v>
      </c>
      <c r="C2" s="4">
        <v>75.400000000000006</v>
      </c>
      <c r="D2" s="3" t="s">
        <v>0</v>
      </c>
      <c r="E2" s="5">
        <v>60.5</v>
      </c>
      <c r="F2" s="3" t="s">
        <v>6</v>
      </c>
      <c r="G2" s="3" t="s">
        <v>7</v>
      </c>
      <c r="H2" s="4">
        <v>84</v>
      </c>
      <c r="I2" s="3" t="s">
        <v>2</v>
      </c>
      <c r="J2" s="3" t="s">
        <v>3</v>
      </c>
      <c r="K2" s="4">
        <v>98</v>
      </c>
      <c r="L2" s="3" t="s">
        <v>9</v>
      </c>
      <c r="M2" s="4">
        <v>65.25</v>
      </c>
      <c r="N2" s="4" t="str">
        <f t="shared" ref="N2:N65" si="0">IF(M2&gt;75,"Distinction",IF(M2&gt;60,"First Class","Pass"))</f>
        <v>First Class</v>
      </c>
      <c r="O2" s="6" t="s">
        <v>5</v>
      </c>
      <c r="P2" s="6" t="str">
        <f>IF(AND(Table2[[#This Row],[Workex]]="Yes",Table2[[#This Row],[Degree_P]]&gt;70%),"High Priority", "Standard")</f>
        <v>Standard</v>
      </c>
      <c r="Q2" s="9">
        <v>240000</v>
      </c>
      <c r="R2" s="17">
        <f>IF(Table2[[#This Row],[Etest_P]]&gt;90,Table2[[#This Row],[Adjusted Salary ]]+(Table2[[#This Row],[Adjusted Salary ]]*5%),Table2[[#This Row],[Adjusted Salary ]])</f>
        <v>252000</v>
      </c>
    </row>
    <row r="3" spans="1:18">
      <c r="A3" s="3">
        <v>25</v>
      </c>
      <c r="B3" s="3" t="s">
        <v>29</v>
      </c>
      <c r="C3" s="4">
        <v>76.5</v>
      </c>
      <c r="D3" s="3" t="s">
        <v>0</v>
      </c>
      <c r="E3" s="5">
        <v>97.7</v>
      </c>
      <c r="F3" s="3" t="s">
        <v>0</v>
      </c>
      <c r="G3" s="3" t="s">
        <v>7</v>
      </c>
      <c r="H3" s="4">
        <v>78.86</v>
      </c>
      <c r="I3" s="3" t="s">
        <v>2</v>
      </c>
      <c r="J3" s="3" t="s">
        <v>3</v>
      </c>
      <c r="K3" s="4">
        <v>97.4</v>
      </c>
      <c r="L3" s="3" t="s">
        <v>9</v>
      </c>
      <c r="M3" s="4">
        <v>74.010000000000005</v>
      </c>
      <c r="N3" s="4" t="str">
        <f t="shared" si="0"/>
        <v>First Class</v>
      </c>
      <c r="O3" s="6" t="s">
        <v>5</v>
      </c>
      <c r="P3" s="6" t="str">
        <f>IF(AND(Table2[[#This Row],[Workex]]="Yes",Table2[[#This Row],[Degree_P]]&gt;70%),"High Priority", "Standard")</f>
        <v>Standard</v>
      </c>
      <c r="Q3" s="9">
        <v>360000</v>
      </c>
      <c r="R3" s="17">
        <f>IF(Table2[[#This Row],[Etest_P]]&gt;90,Table2[[#This Row],[Adjusted Salary ]]+(Table2[[#This Row],[Adjusted Salary ]]*5%),Table2[[#This Row],[Adjusted Salary ]])</f>
        <v>378000</v>
      </c>
    </row>
    <row r="4" spans="1:18">
      <c r="A4" s="6">
        <v>119</v>
      </c>
      <c r="B4" s="6" t="s">
        <v>29</v>
      </c>
      <c r="C4" s="7">
        <v>76</v>
      </c>
      <c r="D4" s="6" t="s">
        <v>6</v>
      </c>
      <c r="E4" s="8">
        <v>80</v>
      </c>
      <c r="F4" s="6" t="s">
        <v>6</v>
      </c>
      <c r="G4" s="6" t="s">
        <v>7</v>
      </c>
      <c r="H4" s="7">
        <v>78</v>
      </c>
      <c r="I4" s="6" t="s">
        <v>2</v>
      </c>
      <c r="J4" s="6" t="s">
        <v>8</v>
      </c>
      <c r="K4" s="7">
        <v>97</v>
      </c>
      <c r="L4" s="6" t="s">
        <v>4</v>
      </c>
      <c r="M4" s="7">
        <v>70.48</v>
      </c>
      <c r="N4" s="7" t="str">
        <f t="shared" si="0"/>
        <v>First Class</v>
      </c>
      <c r="O4" s="6" t="s">
        <v>5</v>
      </c>
      <c r="P4" s="6" t="str">
        <f>IF(AND(Table2[[#This Row],[Workex]]="Yes",Table2[[#This Row],[Degree_P]]&gt;70%),"High Priority", "Standard")</f>
        <v>High Priority</v>
      </c>
      <c r="Q4" s="10">
        <v>276000</v>
      </c>
      <c r="R4" s="17">
        <f>IF(Table2[[#This Row],[Etest_P]]&gt;90,Table2[[#This Row],[Adjusted Salary ]]+(Table2[[#This Row],[Adjusted Salary ]]*5%),Table2[[#This Row],[Adjusted Salary ]])</f>
        <v>289800</v>
      </c>
    </row>
    <row r="5" spans="1:18">
      <c r="A5" s="6">
        <v>207</v>
      </c>
      <c r="B5" s="6" t="s">
        <v>29</v>
      </c>
      <c r="C5" s="7">
        <v>41</v>
      </c>
      <c r="D5" s="6" t="s">
        <v>6</v>
      </c>
      <c r="E5" s="8">
        <v>42</v>
      </c>
      <c r="F5" s="6" t="s">
        <v>6</v>
      </c>
      <c r="G5" s="6" t="s">
        <v>7</v>
      </c>
      <c r="H5" s="7">
        <v>60</v>
      </c>
      <c r="I5" s="6" t="s">
        <v>11</v>
      </c>
      <c r="J5" s="6" t="s">
        <v>3</v>
      </c>
      <c r="K5" s="7">
        <v>97</v>
      </c>
      <c r="L5" s="6" t="s">
        <v>9</v>
      </c>
      <c r="M5" s="7">
        <v>53.39</v>
      </c>
      <c r="N5" s="7" t="str">
        <f t="shared" si="0"/>
        <v>Pass</v>
      </c>
      <c r="O5" s="6" t="s">
        <v>12</v>
      </c>
      <c r="P5" s="6" t="str">
        <f>IF(AND(Table2[[#This Row],[Workex]]="Yes",Table2[[#This Row],[Degree_P]]&gt;70%),"High Priority", "Standard")</f>
        <v>Standard</v>
      </c>
      <c r="Q5" s="10">
        <v>0</v>
      </c>
      <c r="R5" s="17">
        <f>IF(Table2[[#This Row],[Etest_P]]&gt;90,Table2[[#This Row],[Adjusted Salary ]]+(Table2[[#This Row],[Adjusted Salary ]]*5%),Table2[[#This Row],[Adjusted Salary ]])</f>
        <v>0</v>
      </c>
    </row>
    <row r="6" spans="1:18">
      <c r="A6" s="6">
        <v>5</v>
      </c>
      <c r="B6" s="6" t="s">
        <v>29</v>
      </c>
      <c r="C6" s="7">
        <v>85.8</v>
      </c>
      <c r="D6" s="6" t="s">
        <v>6</v>
      </c>
      <c r="E6" s="8">
        <v>73.599999999999994</v>
      </c>
      <c r="F6" s="6" t="s">
        <v>6</v>
      </c>
      <c r="G6" s="6" t="s">
        <v>1</v>
      </c>
      <c r="H6" s="7">
        <v>73.3</v>
      </c>
      <c r="I6" s="6" t="s">
        <v>11</v>
      </c>
      <c r="J6" s="6" t="s">
        <v>3</v>
      </c>
      <c r="K6" s="7">
        <v>96.8</v>
      </c>
      <c r="L6" s="6" t="s">
        <v>9</v>
      </c>
      <c r="M6" s="7">
        <v>55.5</v>
      </c>
      <c r="N6" s="7" t="str">
        <f t="shared" si="0"/>
        <v>Pass</v>
      </c>
      <c r="O6" s="6" t="s">
        <v>5</v>
      </c>
      <c r="P6" s="6" t="str">
        <f>IF(AND(Table2[[#This Row],[Workex]]="Yes",Table2[[#This Row],[Degree_P]]&gt;70%),"High Priority", "Standard")</f>
        <v>Standard</v>
      </c>
      <c r="Q6" s="10">
        <v>425000</v>
      </c>
      <c r="R6" s="17">
        <f>IF(Table2[[#This Row],[Etest_P]]&gt;90,Table2[[#This Row],[Adjusted Salary ]]+(Table2[[#This Row],[Adjusted Salary ]]*5%),Table2[[#This Row],[Adjusted Salary ]])</f>
        <v>446250</v>
      </c>
    </row>
    <row r="7" spans="1:18">
      <c r="A7" s="3">
        <v>117</v>
      </c>
      <c r="B7" s="3" t="s">
        <v>29</v>
      </c>
      <c r="C7" s="4">
        <v>68.2</v>
      </c>
      <c r="D7" s="3" t="s">
        <v>6</v>
      </c>
      <c r="E7" s="5">
        <v>72.8</v>
      </c>
      <c r="F7" s="3" t="s">
        <v>6</v>
      </c>
      <c r="G7" s="3" t="s">
        <v>1</v>
      </c>
      <c r="H7" s="4">
        <v>66.599999999999994</v>
      </c>
      <c r="I7" s="3" t="s">
        <v>11</v>
      </c>
      <c r="J7" s="3" t="s">
        <v>8</v>
      </c>
      <c r="K7" s="4">
        <v>96</v>
      </c>
      <c r="L7" s="3" t="s">
        <v>9</v>
      </c>
      <c r="M7" s="4">
        <v>70.849999999999994</v>
      </c>
      <c r="N7" s="4" t="str">
        <f t="shared" si="0"/>
        <v>First Class</v>
      </c>
      <c r="O7" s="6" t="s">
        <v>5</v>
      </c>
      <c r="P7" s="6" t="str">
        <f>IF(AND(Table2[[#This Row],[Workex]]="Yes",Table2[[#This Row],[Degree_P]]&gt;70%),"High Priority", "Standard")</f>
        <v>High Priority</v>
      </c>
      <c r="Q7" s="9">
        <v>300000</v>
      </c>
      <c r="R7" s="17">
        <f>IF(Table2[[#This Row],[Etest_P]]&gt;90,Table2[[#This Row],[Adjusted Salary ]]+(Table2[[#This Row],[Adjusted Salary ]]*5%),Table2[[#This Row],[Adjusted Salary ]])</f>
        <v>315000</v>
      </c>
    </row>
    <row r="8" spans="1:18">
      <c r="A8" s="6">
        <v>139</v>
      </c>
      <c r="B8" s="6" t="s">
        <v>30</v>
      </c>
      <c r="C8" s="7">
        <v>82</v>
      </c>
      <c r="D8" s="6" t="s">
        <v>0</v>
      </c>
      <c r="E8" s="8">
        <v>64</v>
      </c>
      <c r="F8" s="6" t="s">
        <v>0</v>
      </c>
      <c r="G8" s="6" t="s">
        <v>7</v>
      </c>
      <c r="H8" s="7">
        <v>73</v>
      </c>
      <c r="I8" s="6" t="s">
        <v>2</v>
      </c>
      <c r="J8" s="6" t="s">
        <v>8</v>
      </c>
      <c r="K8" s="7">
        <v>96</v>
      </c>
      <c r="L8" s="6" t="s">
        <v>9</v>
      </c>
      <c r="M8" s="7">
        <v>71.77</v>
      </c>
      <c r="N8" s="7" t="str">
        <f t="shared" si="0"/>
        <v>First Class</v>
      </c>
      <c r="O8" s="6" t="s">
        <v>5</v>
      </c>
      <c r="P8" s="6" t="str">
        <f>IF(AND(Table2[[#This Row],[Workex]]="Yes",Table2[[#This Row],[Degree_P]]&gt;70%),"High Priority", "Standard")</f>
        <v>High Priority</v>
      </c>
      <c r="Q8" s="10">
        <v>250000</v>
      </c>
      <c r="R8" s="17">
        <f>IF(Table2[[#This Row],[Etest_P]]&gt;90,Table2[[#This Row],[Adjusted Salary ]]+(Table2[[#This Row],[Adjusted Salary ]]*5%),Table2[[#This Row],[Adjusted Salary ]])</f>
        <v>262500</v>
      </c>
    </row>
    <row r="9" spans="1:18">
      <c r="A9" s="3">
        <v>190</v>
      </c>
      <c r="B9" s="3" t="s">
        <v>30</v>
      </c>
      <c r="C9" s="4">
        <v>54</v>
      </c>
      <c r="D9" s="3" t="s">
        <v>6</v>
      </c>
      <c r="E9" s="5">
        <v>77.599999999999994</v>
      </c>
      <c r="F9" s="3" t="s">
        <v>0</v>
      </c>
      <c r="G9" s="3" t="s">
        <v>1</v>
      </c>
      <c r="H9" s="4">
        <v>69.2</v>
      </c>
      <c r="I9" s="3" t="s">
        <v>11</v>
      </c>
      <c r="J9" s="3" t="s">
        <v>3</v>
      </c>
      <c r="K9" s="4">
        <v>95.65</v>
      </c>
      <c r="L9" s="3" t="s">
        <v>9</v>
      </c>
      <c r="M9" s="4">
        <v>66.94</v>
      </c>
      <c r="N9" s="4" t="str">
        <f t="shared" si="0"/>
        <v>First Class</v>
      </c>
      <c r="O9" s="6" t="s">
        <v>12</v>
      </c>
      <c r="P9" s="6" t="str">
        <f>IF(AND(Table2[[#This Row],[Workex]]="Yes",Table2[[#This Row],[Degree_P]]&gt;70%),"High Priority", "Standard")</f>
        <v>Standard</v>
      </c>
      <c r="Q9" s="9">
        <v>0</v>
      </c>
      <c r="R9" s="17">
        <f>IF(Table2[[#This Row],[Etest_P]]&gt;90,Table2[[#This Row],[Adjusted Salary ]]+(Table2[[#This Row],[Adjusted Salary ]]*5%),Table2[[#This Row],[Adjusted Salary ]])</f>
        <v>0</v>
      </c>
    </row>
    <row r="10" spans="1:18">
      <c r="A10" s="6">
        <v>73</v>
      </c>
      <c r="B10" s="6" t="s">
        <v>29</v>
      </c>
      <c r="C10" s="7">
        <v>84.86</v>
      </c>
      <c r="D10" s="6" t="s">
        <v>0</v>
      </c>
      <c r="E10" s="8">
        <v>67</v>
      </c>
      <c r="F10" s="6" t="s">
        <v>0</v>
      </c>
      <c r="G10" s="6" t="s">
        <v>7</v>
      </c>
      <c r="H10" s="7">
        <v>78</v>
      </c>
      <c r="I10" s="6" t="s">
        <v>11</v>
      </c>
      <c r="J10" s="6" t="s">
        <v>3</v>
      </c>
      <c r="K10" s="7">
        <v>95.5</v>
      </c>
      <c r="L10" s="6" t="s">
        <v>9</v>
      </c>
      <c r="M10" s="7">
        <v>68.53</v>
      </c>
      <c r="N10" s="7" t="str">
        <f t="shared" si="0"/>
        <v>First Class</v>
      </c>
      <c r="O10" s="6" t="s">
        <v>5</v>
      </c>
      <c r="P10" s="6" t="str">
        <f>IF(AND(Table2[[#This Row],[Workex]]="Yes",Table2[[#This Row],[Degree_P]]&gt;70%),"High Priority", "Standard")</f>
        <v>Standard</v>
      </c>
      <c r="Q10" s="10">
        <v>240000</v>
      </c>
      <c r="R10" s="17">
        <f>IF(Table2[[#This Row],[Etest_P]]&gt;90,Table2[[#This Row],[Adjusted Salary ]]+(Table2[[#This Row],[Adjusted Salary ]]*5%),Table2[[#This Row],[Adjusted Salary ]])</f>
        <v>252000</v>
      </c>
    </row>
    <row r="11" spans="1:18">
      <c r="A11" s="6">
        <v>96</v>
      </c>
      <c r="B11" s="6" t="s">
        <v>29</v>
      </c>
      <c r="C11" s="7">
        <v>73</v>
      </c>
      <c r="D11" s="6" t="s">
        <v>6</v>
      </c>
      <c r="E11" s="8">
        <v>78</v>
      </c>
      <c r="F11" s="6" t="s">
        <v>0</v>
      </c>
      <c r="G11" s="6" t="s">
        <v>1</v>
      </c>
      <c r="H11" s="7">
        <v>65</v>
      </c>
      <c r="I11" s="6" t="s">
        <v>11</v>
      </c>
      <c r="J11" s="6" t="s">
        <v>8</v>
      </c>
      <c r="K11" s="7">
        <v>95.46</v>
      </c>
      <c r="L11" s="6" t="s">
        <v>9</v>
      </c>
      <c r="M11" s="7">
        <v>62.16</v>
      </c>
      <c r="N11" s="7" t="str">
        <f t="shared" si="0"/>
        <v>First Class</v>
      </c>
      <c r="O11" s="6" t="s">
        <v>5</v>
      </c>
      <c r="P11" s="6" t="str">
        <f>IF(AND(Table2[[#This Row],[Workex]]="Yes",Table2[[#This Row],[Degree_P]]&gt;70%),"High Priority", "Standard")</f>
        <v>High Priority</v>
      </c>
      <c r="Q11" s="10">
        <v>420000</v>
      </c>
      <c r="R11" s="17">
        <f>IF(Table2[[#This Row],[Etest_P]]&gt;90,Table2[[#This Row],[Adjusted Salary ]]+(Table2[[#This Row],[Adjusted Salary ]]*5%),Table2[[#This Row],[Adjusted Salary ]])</f>
        <v>441000</v>
      </c>
    </row>
    <row r="12" spans="1:18">
      <c r="A12" s="3">
        <v>22</v>
      </c>
      <c r="B12" s="3" t="s">
        <v>30</v>
      </c>
      <c r="C12" s="4">
        <v>79</v>
      </c>
      <c r="D12" s="3" t="s">
        <v>0</v>
      </c>
      <c r="E12" s="5">
        <v>76</v>
      </c>
      <c r="F12" s="3" t="s">
        <v>0</v>
      </c>
      <c r="G12" s="3" t="s">
        <v>1</v>
      </c>
      <c r="H12" s="4">
        <v>85</v>
      </c>
      <c r="I12" s="3" t="s">
        <v>11</v>
      </c>
      <c r="J12" s="3" t="s">
        <v>3</v>
      </c>
      <c r="K12" s="4">
        <v>95</v>
      </c>
      <c r="L12" s="3" t="s">
        <v>9</v>
      </c>
      <c r="M12" s="4">
        <v>69.06</v>
      </c>
      <c r="N12" s="4" t="str">
        <f t="shared" si="0"/>
        <v>First Class</v>
      </c>
      <c r="O12" s="6" t="s">
        <v>5</v>
      </c>
      <c r="P12" s="6" t="str">
        <f>IF(AND(Table2[[#This Row],[Workex]]="Yes",Table2[[#This Row],[Degree_P]]&gt;70%),"High Priority", "Standard")</f>
        <v>Standard</v>
      </c>
      <c r="Q12" s="9">
        <v>393000</v>
      </c>
      <c r="R12" s="17">
        <f>IF(Table2[[#This Row],[Etest_P]]&gt;90,Table2[[#This Row],[Adjusted Salary ]]+(Table2[[#This Row],[Adjusted Salary ]]*5%),Table2[[#This Row],[Adjusted Salary ]])</f>
        <v>412650</v>
      </c>
    </row>
    <row r="13" spans="1:18">
      <c r="A13" s="3">
        <v>44</v>
      </c>
      <c r="B13" s="3" t="s">
        <v>29</v>
      </c>
      <c r="C13" s="4">
        <v>87</v>
      </c>
      <c r="D13" s="3" t="s">
        <v>0</v>
      </c>
      <c r="E13" s="5">
        <v>87</v>
      </c>
      <c r="F13" s="3" t="s">
        <v>0</v>
      </c>
      <c r="G13" s="3" t="s">
        <v>1</v>
      </c>
      <c r="H13" s="4">
        <v>68</v>
      </c>
      <c r="I13" s="3" t="s">
        <v>11</v>
      </c>
      <c r="J13" s="3" t="s">
        <v>3</v>
      </c>
      <c r="K13" s="4">
        <v>95</v>
      </c>
      <c r="L13" s="3" t="s">
        <v>4</v>
      </c>
      <c r="M13" s="4">
        <v>62.9</v>
      </c>
      <c r="N13" s="4" t="str">
        <f t="shared" si="0"/>
        <v>First Class</v>
      </c>
      <c r="O13" s="6" t="s">
        <v>5</v>
      </c>
      <c r="P13" s="6" t="str">
        <f>IF(AND(Table2[[#This Row],[Workex]]="Yes",Table2[[#This Row],[Degree_P]]&gt;70%),"High Priority", "Standard")</f>
        <v>Standard</v>
      </c>
      <c r="Q13" s="9">
        <v>300000</v>
      </c>
      <c r="R13" s="17">
        <f>IF(Table2[[#This Row],[Etest_P]]&gt;90,Table2[[#This Row],[Adjusted Salary ]]+(Table2[[#This Row],[Adjusted Salary ]]*5%),Table2[[#This Row],[Adjusted Salary ]])</f>
        <v>315000</v>
      </c>
    </row>
    <row r="14" spans="1:18">
      <c r="A14" s="3">
        <v>72</v>
      </c>
      <c r="B14" s="3" t="s">
        <v>29</v>
      </c>
      <c r="C14" s="4">
        <v>75</v>
      </c>
      <c r="D14" s="3" t="s">
        <v>0</v>
      </c>
      <c r="E14" s="5">
        <v>70.290000000000006</v>
      </c>
      <c r="F14" s="3" t="s">
        <v>0</v>
      </c>
      <c r="G14" s="3" t="s">
        <v>1</v>
      </c>
      <c r="H14" s="4">
        <v>71</v>
      </c>
      <c r="I14" s="3" t="s">
        <v>11</v>
      </c>
      <c r="J14" s="3" t="s">
        <v>3</v>
      </c>
      <c r="K14" s="4">
        <v>95</v>
      </c>
      <c r="L14" s="3" t="s">
        <v>9</v>
      </c>
      <c r="M14" s="4">
        <v>66.94</v>
      </c>
      <c r="N14" s="4" t="str">
        <f t="shared" si="0"/>
        <v>First Class</v>
      </c>
      <c r="O14" s="6" t="s">
        <v>5</v>
      </c>
      <c r="P14" s="6" t="str">
        <f>IF(AND(Table2[[#This Row],[Workex]]="Yes",Table2[[#This Row],[Degree_P]]&gt;70%),"High Priority", "Standard")</f>
        <v>Standard</v>
      </c>
      <c r="Q14" s="9">
        <v>240000</v>
      </c>
      <c r="R14" s="17">
        <f>IF(Table2[[#This Row],[Etest_P]]&gt;90,Table2[[#This Row],[Adjusted Salary ]]+(Table2[[#This Row],[Adjusted Salary ]]*5%),Table2[[#This Row],[Adjusted Salary ]])</f>
        <v>252000</v>
      </c>
    </row>
    <row r="15" spans="1:18">
      <c r="A15" s="6">
        <v>188</v>
      </c>
      <c r="B15" s="6" t="s">
        <v>29</v>
      </c>
      <c r="C15" s="7">
        <v>78.5</v>
      </c>
      <c r="D15" s="6" t="s">
        <v>6</v>
      </c>
      <c r="E15" s="8">
        <v>65.5</v>
      </c>
      <c r="F15" s="6" t="s">
        <v>6</v>
      </c>
      <c r="G15" s="6" t="s">
        <v>7</v>
      </c>
      <c r="H15" s="7">
        <v>67</v>
      </c>
      <c r="I15" s="6" t="s">
        <v>2</v>
      </c>
      <c r="J15" s="6" t="s">
        <v>8</v>
      </c>
      <c r="K15" s="7">
        <v>95</v>
      </c>
      <c r="L15" s="6" t="s">
        <v>9</v>
      </c>
      <c r="M15" s="7">
        <v>64.86</v>
      </c>
      <c r="N15" s="7" t="str">
        <f t="shared" si="0"/>
        <v>First Class</v>
      </c>
      <c r="O15" s="6" t="s">
        <v>5</v>
      </c>
      <c r="P15" s="6" t="str">
        <f>IF(AND(Table2[[#This Row],[Workex]]="Yes",Table2[[#This Row],[Degree_P]]&gt;70%),"High Priority", "Standard")</f>
        <v>High Priority</v>
      </c>
      <c r="Q15" s="10">
        <v>280000</v>
      </c>
      <c r="R15" s="17">
        <f>IF(Table2[[#This Row],[Etest_P]]&gt;90,Table2[[#This Row],[Adjusted Salary ]]+(Table2[[#This Row],[Adjusted Salary ]]*5%),Table2[[#This Row],[Adjusted Salary ]])</f>
        <v>294000</v>
      </c>
    </row>
    <row r="16" spans="1:18">
      <c r="A16" s="3">
        <v>27</v>
      </c>
      <c r="B16" s="3" t="s">
        <v>29</v>
      </c>
      <c r="C16" s="4">
        <v>71</v>
      </c>
      <c r="D16" s="3" t="s">
        <v>0</v>
      </c>
      <c r="E16" s="5">
        <v>79</v>
      </c>
      <c r="F16" s="3" t="s">
        <v>0</v>
      </c>
      <c r="G16" s="3" t="s">
        <v>1</v>
      </c>
      <c r="H16" s="4">
        <v>66</v>
      </c>
      <c r="I16" s="3" t="s">
        <v>11</v>
      </c>
      <c r="J16" s="3" t="s">
        <v>8</v>
      </c>
      <c r="K16" s="4">
        <v>94</v>
      </c>
      <c r="L16" s="3" t="s">
        <v>9</v>
      </c>
      <c r="M16" s="4">
        <v>57.55</v>
      </c>
      <c r="N16" s="4" t="str">
        <f t="shared" si="0"/>
        <v>Pass</v>
      </c>
      <c r="O16" s="6" t="s">
        <v>5</v>
      </c>
      <c r="P16" s="6" t="str">
        <f>IF(AND(Table2[[#This Row],[Workex]]="Yes",Table2[[#This Row],[Degree_P]]&gt;70%),"High Priority", "Standard")</f>
        <v>High Priority</v>
      </c>
      <c r="Q16" s="9">
        <v>240000</v>
      </c>
      <c r="R16" s="17">
        <f>IF(Table2[[#This Row],[Etest_P]]&gt;90,Table2[[#This Row],[Adjusted Salary ]]+(Table2[[#This Row],[Adjusted Salary ]]*5%),Table2[[#This Row],[Adjusted Salary ]])</f>
        <v>252000</v>
      </c>
    </row>
    <row r="17" spans="1:18">
      <c r="A17" s="3">
        <v>135</v>
      </c>
      <c r="B17" s="3" t="s">
        <v>30</v>
      </c>
      <c r="C17" s="4">
        <v>77.44</v>
      </c>
      <c r="D17" s="3" t="s">
        <v>6</v>
      </c>
      <c r="E17" s="5">
        <v>92</v>
      </c>
      <c r="F17" s="3" t="s">
        <v>0</v>
      </c>
      <c r="G17" s="3" t="s">
        <v>1</v>
      </c>
      <c r="H17" s="4">
        <v>72</v>
      </c>
      <c r="I17" s="3" t="s">
        <v>11</v>
      </c>
      <c r="J17" s="3" t="s">
        <v>8</v>
      </c>
      <c r="K17" s="4">
        <v>94</v>
      </c>
      <c r="L17" s="3" t="s">
        <v>9</v>
      </c>
      <c r="M17" s="4">
        <v>67.13</v>
      </c>
      <c r="N17" s="4" t="str">
        <f t="shared" si="0"/>
        <v>First Class</v>
      </c>
      <c r="O17" s="6" t="s">
        <v>5</v>
      </c>
      <c r="P17" s="6" t="str">
        <f>IF(AND(Table2[[#This Row],[Workex]]="Yes",Table2[[#This Row],[Degree_P]]&gt;70%),"High Priority", "Standard")</f>
        <v>High Priority</v>
      </c>
      <c r="Q17" s="9">
        <v>250000</v>
      </c>
      <c r="R17" s="17">
        <f>IF(Table2[[#This Row],[Etest_P]]&gt;90,Table2[[#This Row],[Adjusted Salary ]]+(Table2[[#This Row],[Adjusted Salary ]]*5%),Table2[[#This Row],[Adjusted Salary ]])</f>
        <v>262500</v>
      </c>
    </row>
    <row r="18" spans="1:18">
      <c r="A18" s="3">
        <v>98</v>
      </c>
      <c r="B18" s="3" t="s">
        <v>30</v>
      </c>
      <c r="C18" s="4">
        <v>70.5</v>
      </c>
      <c r="D18" s="3" t="s">
        <v>6</v>
      </c>
      <c r="E18" s="5">
        <v>62.5</v>
      </c>
      <c r="F18" s="3" t="s">
        <v>0</v>
      </c>
      <c r="G18" s="3" t="s">
        <v>1</v>
      </c>
      <c r="H18" s="4">
        <v>61</v>
      </c>
      <c r="I18" s="3" t="s">
        <v>11</v>
      </c>
      <c r="J18" s="3" t="s">
        <v>3</v>
      </c>
      <c r="K18" s="4">
        <v>93.91</v>
      </c>
      <c r="L18" s="3" t="s">
        <v>9</v>
      </c>
      <c r="M18" s="4">
        <v>69.03</v>
      </c>
      <c r="N18" s="4" t="str">
        <f t="shared" si="0"/>
        <v>First Class</v>
      </c>
      <c r="O18" s="6" t="s">
        <v>12</v>
      </c>
      <c r="P18" s="6" t="str">
        <f>IF(AND(Table2[[#This Row],[Workex]]="Yes",Table2[[#This Row],[Degree_P]]&gt;70%),"High Priority", "Standard")</f>
        <v>Standard</v>
      </c>
      <c r="Q18" s="9">
        <v>0</v>
      </c>
      <c r="R18" s="17">
        <f>IF(Table2[[#This Row],[Etest_P]]&gt;90,Table2[[#This Row],[Adjusted Salary ]]+(Table2[[#This Row],[Adjusted Salary ]]*5%),Table2[[#This Row],[Adjusted Salary ]])</f>
        <v>0</v>
      </c>
    </row>
    <row r="19" spans="1:18">
      <c r="A19" s="6">
        <v>158</v>
      </c>
      <c r="B19" s="6" t="s">
        <v>29</v>
      </c>
      <c r="C19" s="7">
        <v>66.5</v>
      </c>
      <c r="D19" s="6" t="s">
        <v>6</v>
      </c>
      <c r="E19" s="8">
        <v>62.5</v>
      </c>
      <c r="F19" s="6" t="s">
        <v>6</v>
      </c>
      <c r="G19" s="6" t="s">
        <v>1</v>
      </c>
      <c r="H19" s="7">
        <v>60.9</v>
      </c>
      <c r="I19" s="6" t="s">
        <v>11</v>
      </c>
      <c r="J19" s="6" t="s">
        <v>3</v>
      </c>
      <c r="K19" s="7">
        <v>93.4</v>
      </c>
      <c r="L19" s="6" t="s">
        <v>9</v>
      </c>
      <c r="M19" s="7">
        <v>55.03</v>
      </c>
      <c r="N19" s="7" t="str">
        <f t="shared" si="0"/>
        <v>Pass</v>
      </c>
      <c r="O19" s="6" t="s">
        <v>5</v>
      </c>
      <c r="P19" s="6" t="str">
        <f>IF(AND(Table2[[#This Row],[Workex]]="Yes",Table2[[#This Row],[Degree_P]]&gt;70%),"High Priority", "Standard")</f>
        <v>Standard</v>
      </c>
      <c r="Q19" s="10">
        <v>300000</v>
      </c>
      <c r="R19" s="17">
        <f>IF(Table2[[#This Row],[Etest_P]]&gt;90,Table2[[#This Row],[Adjusted Salary ]]+(Table2[[#This Row],[Adjusted Salary ]]*5%),Table2[[#This Row],[Adjusted Salary ]])</f>
        <v>315000</v>
      </c>
    </row>
    <row r="20" spans="1:18">
      <c r="A20" s="3">
        <v>193</v>
      </c>
      <c r="B20" s="3" t="s">
        <v>29</v>
      </c>
      <c r="C20" s="4">
        <v>65.2</v>
      </c>
      <c r="D20" s="3" t="s">
        <v>6</v>
      </c>
      <c r="E20" s="5">
        <v>61.4</v>
      </c>
      <c r="F20" s="3" t="s">
        <v>6</v>
      </c>
      <c r="G20" s="3" t="s">
        <v>1</v>
      </c>
      <c r="H20" s="4">
        <v>64.8</v>
      </c>
      <c r="I20" s="3" t="s">
        <v>11</v>
      </c>
      <c r="J20" s="3" t="s">
        <v>8</v>
      </c>
      <c r="K20" s="4">
        <v>93.4</v>
      </c>
      <c r="L20" s="3" t="s">
        <v>9</v>
      </c>
      <c r="M20" s="4">
        <v>57.34</v>
      </c>
      <c r="N20" s="4" t="str">
        <f t="shared" si="0"/>
        <v>Pass</v>
      </c>
      <c r="O20" s="6" t="s">
        <v>5</v>
      </c>
      <c r="P20" s="6" t="str">
        <f>IF(AND(Table2[[#This Row],[Workex]]="Yes",Table2[[#This Row],[Degree_P]]&gt;70%),"High Priority", "Standard")</f>
        <v>High Priority</v>
      </c>
      <c r="Q20" s="9">
        <v>270000</v>
      </c>
      <c r="R20" s="17">
        <f>IF(Table2[[#This Row],[Etest_P]]&gt;90,Table2[[#This Row],[Adjusted Salary ]]+(Table2[[#This Row],[Adjusted Salary ]]*5%),Table2[[#This Row],[Adjusted Salary ]])</f>
        <v>283500</v>
      </c>
    </row>
    <row r="21" spans="1:18">
      <c r="A21" s="3">
        <v>40</v>
      </c>
      <c r="B21" s="3" t="s">
        <v>29</v>
      </c>
      <c r="C21" s="4">
        <v>81</v>
      </c>
      <c r="D21" s="3" t="s">
        <v>0</v>
      </c>
      <c r="E21" s="5">
        <v>68</v>
      </c>
      <c r="F21" s="3" t="s">
        <v>0</v>
      </c>
      <c r="G21" s="3" t="s">
        <v>7</v>
      </c>
      <c r="H21" s="4">
        <v>64</v>
      </c>
      <c r="I21" s="3" t="s">
        <v>2</v>
      </c>
      <c r="J21" s="3" t="s">
        <v>3</v>
      </c>
      <c r="K21" s="4">
        <v>93</v>
      </c>
      <c r="L21" s="3" t="s">
        <v>9</v>
      </c>
      <c r="M21" s="4">
        <v>62.56</v>
      </c>
      <c r="N21" s="4" t="str">
        <f t="shared" si="0"/>
        <v>First Class</v>
      </c>
      <c r="O21" s="6" t="s">
        <v>5</v>
      </c>
      <c r="P21" s="6" t="str">
        <f>IF(AND(Table2[[#This Row],[Workex]]="Yes",Table2[[#This Row],[Degree_P]]&gt;70%),"High Priority", "Standard")</f>
        <v>Standard</v>
      </c>
      <c r="Q21" s="9">
        <v>411000</v>
      </c>
      <c r="R21" s="17">
        <f>IF(Table2[[#This Row],[Etest_P]]&gt;90,Table2[[#This Row],[Adjusted Salary ]]+(Table2[[#This Row],[Adjusted Salary ]]*5%),Table2[[#This Row],[Adjusted Salary ]])</f>
        <v>431550</v>
      </c>
    </row>
    <row r="22" spans="1:18">
      <c r="A22" s="3">
        <v>209</v>
      </c>
      <c r="B22" s="3" t="s">
        <v>30</v>
      </c>
      <c r="C22" s="4">
        <v>43</v>
      </c>
      <c r="D22" s="3" t="s">
        <v>6</v>
      </c>
      <c r="E22" s="5">
        <v>60</v>
      </c>
      <c r="F22" s="3" t="s">
        <v>0</v>
      </c>
      <c r="G22" s="3" t="s">
        <v>7</v>
      </c>
      <c r="H22" s="4">
        <v>65</v>
      </c>
      <c r="I22" s="3" t="s">
        <v>11</v>
      </c>
      <c r="J22" s="3" t="s">
        <v>3</v>
      </c>
      <c r="K22" s="4">
        <v>92.66</v>
      </c>
      <c r="L22" s="3" t="s">
        <v>4</v>
      </c>
      <c r="M22" s="4">
        <v>62.92</v>
      </c>
      <c r="N22" s="4" t="str">
        <f t="shared" si="0"/>
        <v>First Class</v>
      </c>
      <c r="O22" s="6" t="s">
        <v>12</v>
      </c>
      <c r="P22" s="6" t="str">
        <f>IF(AND(Table2[[#This Row],[Workex]]="Yes",Table2[[#This Row],[Degree_P]]&gt;70%),"High Priority", "Standard")</f>
        <v>Standard</v>
      </c>
      <c r="Q22" s="9">
        <v>0</v>
      </c>
      <c r="R22" s="17">
        <f>IF(Table2[[#This Row],[Etest_P]]&gt;90,Table2[[#This Row],[Adjusted Salary ]]+(Table2[[#This Row],[Adjusted Salary ]]*5%),Table2[[#This Row],[Adjusted Salary ]])</f>
        <v>0</v>
      </c>
    </row>
    <row r="23" spans="1:18">
      <c r="A23" s="6">
        <v>24</v>
      </c>
      <c r="B23" s="6" t="s">
        <v>30</v>
      </c>
      <c r="C23" s="7">
        <v>77.400000000000006</v>
      </c>
      <c r="D23" s="6" t="s">
        <v>0</v>
      </c>
      <c r="E23" s="8">
        <v>60</v>
      </c>
      <c r="F23" s="6" t="s">
        <v>0</v>
      </c>
      <c r="G23" s="6" t="s">
        <v>7</v>
      </c>
      <c r="H23" s="7">
        <v>64.739999999999995</v>
      </c>
      <c r="I23" s="6" t="s">
        <v>2</v>
      </c>
      <c r="J23" s="6" t="s">
        <v>8</v>
      </c>
      <c r="K23" s="7">
        <v>92</v>
      </c>
      <c r="L23" s="6" t="s">
        <v>9</v>
      </c>
      <c r="M23" s="7">
        <v>63.62</v>
      </c>
      <c r="N23" s="7" t="str">
        <f t="shared" si="0"/>
        <v>First Class</v>
      </c>
      <c r="O23" s="6" t="s">
        <v>5</v>
      </c>
      <c r="P23" s="6" t="str">
        <f>IF(AND(Table2[[#This Row],[Workex]]="Yes",Table2[[#This Row],[Degree_P]]&gt;70%),"High Priority", "Standard")</f>
        <v>High Priority</v>
      </c>
      <c r="Q23" s="10">
        <v>300000</v>
      </c>
      <c r="R23" s="17">
        <f>IF(Table2[[#This Row],[Etest_P]]&gt;90,Table2[[#This Row],[Adjusted Salary ]]+(Table2[[#This Row],[Adjusted Salary ]]*5%),Table2[[#This Row],[Adjusted Salary ]])</f>
        <v>315000</v>
      </c>
    </row>
    <row r="24" spans="1:18">
      <c r="A24" s="6">
        <v>91</v>
      </c>
      <c r="B24" s="6" t="s">
        <v>30</v>
      </c>
      <c r="C24" s="7">
        <v>85</v>
      </c>
      <c r="D24" s="6" t="s">
        <v>0</v>
      </c>
      <c r="E24" s="8">
        <v>90</v>
      </c>
      <c r="F24" s="6" t="s">
        <v>0</v>
      </c>
      <c r="G24" s="6" t="s">
        <v>1</v>
      </c>
      <c r="H24" s="7">
        <v>82</v>
      </c>
      <c r="I24" s="6" t="s">
        <v>11</v>
      </c>
      <c r="J24" s="6" t="s">
        <v>3</v>
      </c>
      <c r="K24" s="7">
        <v>92</v>
      </c>
      <c r="L24" s="6" t="s">
        <v>9</v>
      </c>
      <c r="M24" s="7">
        <v>68.03</v>
      </c>
      <c r="N24" s="7" t="str">
        <f t="shared" si="0"/>
        <v>First Class</v>
      </c>
      <c r="O24" s="6" t="s">
        <v>5</v>
      </c>
      <c r="P24" s="6" t="str">
        <f>IF(AND(Table2[[#This Row],[Workex]]="Yes",Table2[[#This Row],[Degree_P]]&gt;70%),"High Priority", "Standard")</f>
        <v>Standard</v>
      </c>
      <c r="Q24" s="10">
        <v>300000</v>
      </c>
      <c r="R24" s="17">
        <f>IF(Table2[[#This Row],[Etest_P]]&gt;90,Table2[[#This Row],[Adjusted Salary ]]+(Table2[[#This Row],[Adjusted Salary ]]*5%),Table2[[#This Row],[Adjusted Salary ]])</f>
        <v>315000</v>
      </c>
    </row>
    <row r="25" spans="1:18">
      <c r="A25" s="6">
        <v>9</v>
      </c>
      <c r="B25" s="6" t="s">
        <v>29</v>
      </c>
      <c r="C25" s="7">
        <v>73</v>
      </c>
      <c r="D25" s="6" t="s">
        <v>6</v>
      </c>
      <c r="E25" s="8">
        <v>79</v>
      </c>
      <c r="F25" s="6" t="s">
        <v>6</v>
      </c>
      <c r="G25" s="6" t="s">
        <v>1</v>
      </c>
      <c r="H25" s="7">
        <v>72</v>
      </c>
      <c r="I25" s="6" t="s">
        <v>11</v>
      </c>
      <c r="J25" s="6" t="s">
        <v>3</v>
      </c>
      <c r="K25" s="7">
        <v>91.34</v>
      </c>
      <c r="L25" s="6" t="s">
        <v>9</v>
      </c>
      <c r="M25" s="7">
        <v>61.29</v>
      </c>
      <c r="N25" s="7" t="str">
        <f t="shared" si="0"/>
        <v>First Class</v>
      </c>
      <c r="O25" s="6" t="s">
        <v>5</v>
      </c>
      <c r="P25" s="6" t="str">
        <f>IF(AND(Table2[[#This Row],[Workex]]="Yes",Table2[[#This Row],[Degree_P]]&gt;70%),"High Priority", "Standard")</f>
        <v>Standard</v>
      </c>
      <c r="Q25" s="10">
        <v>231000</v>
      </c>
      <c r="R25" s="17">
        <f>IF(Table2[[#This Row],[Etest_P]]&gt;90,Table2[[#This Row],[Adjusted Salary ]]+(Table2[[#This Row],[Adjusted Salary ]]*5%),Table2[[#This Row],[Adjusted Salary ]])</f>
        <v>242550</v>
      </c>
    </row>
    <row r="26" spans="1:18">
      <c r="A26" s="3">
        <v>211</v>
      </c>
      <c r="B26" s="3" t="s">
        <v>29</v>
      </c>
      <c r="C26" s="4">
        <v>80.599999999999994</v>
      </c>
      <c r="D26" s="3" t="s">
        <v>0</v>
      </c>
      <c r="E26" s="5">
        <v>82</v>
      </c>
      <c r="F26" s="3" t="s">
        <v>0</v>
      </c>
      <c r="G26" s="3" t="s">
        <v>1</v>
      </c>
      <c r="H26" s="4">
        <v>77.599999999999994</v>
      </c>
      <c r="I26" s="3" t="s">
        <v>11</v>
      </c>
      <c r="J26" s="3" t="s">
        <v>3</v>
      </c>
      <c r="K26" s="4">
        <v>91</v>
      </c>
      <c r="L26" s="3" t="s">
        <v>9</v>
      </c>
      <c r="M26" s="4">
        <v>74.489999999999995</v>
      </c>
      <c r="N26" s="4" t="str">
        <f t="shared" si="0"/>
        <v>First Class</v>
      </c>
      <c r="O26" s="6" t="s">
        <v>5</v>
      </c>
      <c r="P26" s="6" t="str">
        <f>IF(AND(Table2[[#This Row],[Workex]]="Yes",Table2[[#This Row],[Degree_P]]&gt;70%),"High Priority", "Standard")</f>
        <v>Standard</v>
      </c>
      <c r="Q26" s="9">
        <v>400000</v>
      </c>
      <c r="R26" s="17">
        <f>IF(Table2[[#This Row],[Etest_P]]&gt;90,Table2[[#This Row],[Adjusted Salary ]]+(Table2[[#This Row],[Adjusted Salary ]]*5%),Table2[[#This Row],[Adjusted Salary ]])</f>
        <v>420000</v>
      </c>
    </row>
    <row r="27" spans="1:18">
      <c r="A27" s="3">
        <v>130</v>
      </c>
      <c r="B27" s="3" t="s">
        <v>29</v>
      </c>
      <c r="C27" s="4">
        <v>76.7</v>
      </c>
      <c r="D27" s="3" t="s">
        <v>6</v>
      </c>
      <c r="E27" s="5">
        <v>89.7</v>
      </c>
      <c r="F27" s="3" t="s">
        <v>0</v>
      </c>
      <c r="G27" s="3" t="s">
        <v>1</v>
      </c>
      <c r="H27" s="4">
        <v>66</v>
      </c>
      <c r="I27" s="3" t="s">
        <v>11</v>
      </c>
      <c r="J27" s="3" t="s">
        <v>8</v>
      </c>
      <c r="K27" s="4">
        <v>90</v>
      </c>
      <c r="L27" s="3" t="s">
        <v>9</v>
      </c>
      <c r="M27" s="4">
        <v>68.55</v>
      </c>
      <c r="N27" s="4" t="str">
        <f t="shared" si="0"/>
        <v>First Class</v>
      </c>
      <c r="O27" s="6" t="s">
        <v>5</v>
      </c>
      <c r="P27" s="6" t="str">
        <f>IF(AND(Table2[[#This Row],[Workex]]="Yes",Table2[[#This Row],[Degree_P]]&gt;70%),"High Priority", "Standard")</f>
        <v>High Priority</v>
      </c>
      <c r="Q27" s="9">
        <v>250000</v>
      </c>
      <c r="R27" s="17">
        <f>IF(Table2[[#This Row],[Etest_P]]&gt;90,Table2[[#This Row],[Adjusted Salary ]]+(Table2[[#This Row],[Adjusted Salary ]]*5%),Table2[[#This Row],[Adjusted Salary ]])</f>
        <v>250000</v>
      </c>
    </row>
    <row r="28" spans="1:18">
      <c r="A28" s="6">
        <v>66</v>
      </c>
      <c r="B28" s="6" t="s">
        <v>29</v>
      </c>
      <c r="C28" s="7">
        <v>54</v>
      </c>
      <c r="D28" s="6" t="s">
        <v>0</v>
      </c>
      <c r="E28" s="8">
        <v>47</v>
      </c>
      <c r="F28" s="6" t="s">
        <v>0</v>
      </c>
      <c r="G28" s="6" t="s">
        <v>7</v>
      </c>
      <c r="H28" s="7">
        <v>57</v>
      </c>
      <c r="I28" s="6" t="s">
        <v>11</v>
      </c>
      <c r="J28" s="6" t="s">
        <v>3</v>
      </c>
      <c r="K28" s="7">
        <v>89.69</v>
      </c>
      <c r="L28" s="6" t="s">
        <v>4</v>
      </c>
      <c r="M28" s="7">
        <v>57.1</v>
      </c>
      <c r="N28" s="7" t="str">
        <f t="shared" si="0"/>
        <v>Pass</v>
      </c>
      <c r="O28" s="6" t="s">
        <v>12</v>
      </c>
      <c r="P28" s="6" t="str">
        <f>IF(AND(Table2[[#This Row],[Workex]]="Yes",Table2[[#This Row],[Degree_P]]&gt;70%),"High Priority", "Standard")</f>
        <v>Standard</v>
      </c>
      <c r="Q28" s="10">
        <v>0</v>
      </c>
      <c r="R28" s="17">
        <f>IF(Table2[[#This Row],[Etest_P]]&gt;90,Table2[[#This Row],[Adjusted Salary ]]+(Table2[[#This Row],[Adjusted Salary ]]*5%),Table2[[#This Row],[Adjusted Salary ]])</f>
        <v>0</v>
      </c>
    </row>
    <row r="29" spans="1:18">
      <c r="A29" s="3">
        <v>45</v>
      </c>
      <c r="B29" s="3" t="s">
        <v>30</v>
      </c>
      <c r="C29" s="4">
        <v>77</v>
      </c>
      <c r="D29" s="3" t="s">
        <v>0</v>
      </c>
      <c r="E29" s="5">
        <v>73</v>
      </c>
      <c r="F29" s="3" t="s">
        <v>0</v>
      </c>
      <c r="G29" s="3" t="s">
        <v>1</v>
      </c>
      <c r="H29" s="4">
        <v>81</v>
      </c>
      <c r="I29" s="3" t="s">
        <v>11</v>
      </c>
      <c r="J29" s="3" t="s">
        <v>8</v>
      </c>
      <c r="K29" s="4">
        <v>89</v>
      </c>
      <c r="L29" s="3" t="s">
        <v>9</v>
      </c>
      <c r="M29" s="4">
        <v>69.7</v>
      </c>
      <c r="N29" s="4" t="str">
        <f t="shared" si="0"/>
        <v>First Class</v>
      </c>
      <c r="O29" s="6" t="s">
        <v>5</v>
      </c>
      <c r="P29" s="6" t="str">
        <f>IF(AND(Table2[[#This Row],[Workex]]="Yes",Table2[[#This Row],[Degree_P]]&gt;70%),"High Priority", "Standard")</f>
        <v>High Priority</v>
      </c>
      <c r="Q29" s="9">
        <v>200000</v>
      </c>
      <c r="R29" s="17">
        <f>IF(Table2[[#This Row],[Etest_P]]&gt;90,Table2[[#This Row],[Adjusted Salary ]]+(Table2[[#This Row],[Adjusted Salary ]]*5%),Table2[[#This Row],[Adjusted Salary ]])</f>
        <v>200000</v>
      </c>
    </row>
    <row r="30" spans="1:18">
      <c r="A30" s="6">
        <v>71</v>
      </c>
      <c r="B30" s="6" t="s">
        <v>29</v>
      </c>
      <c r="C30" s="7">
        <v>82</v>
      </c>
      <c r="D30" s="6" t="s">
        <v>0</v>
      </c>
      <c r="E30" s="8">
        <v>61</v>
      </c>
      <c r="F30" s="6" t="s">
        <v>0</v>
      </c>
      <c r="G30" s="6" t="s">
        <v>7</v>
      </c>
      <c r="H30" s="7">
        <v>62</v>
      </c>
      <c r="I30" s="6" t="s">
        <v>2</v>
      </c>
      <c r="J30" s="6" t="s">
        <v>3</v>
      </c>
      <c r="K30" s="7">
        <v>89</v>
      </c>
      <c r="L30" s="6" t="s">
        <v>9</v>
      </c>
      <c r="M30" s="7">
        <v>65.45</v>
      </c>
      <c r="N30" s="7" t="str">
        <f t="shared" si="0"/>
        <v>First Class</v>
      </c>
      <c r="O30" s="6" t="s">
        <v>5</v>
      </c>
      <c r="P30" s="6" t="str">
        <f>IF(AND(Table2[[#This Row],[Workex]]="Yes",Table2[[#This Row],[Degree_P]]&gt;70%),"High Priority", "Standard")</f>
        <v>Standard</v>
      </c>
      <c r="Q30" s="10">
        <v>360000</v>
      </c>
      <c r="R30" s="17">
        <f>IF(Table2[[#This Row],[Etest_P]]&gt;90,Table2[[#This Row],[Adjusted Salary ]]+(Table2[[#This Row],[Adjusted Salary ]]*5%),Table2[[#This Row],[Adjusted Salary ]])</f>
        <v>360000</v>
      </c>
    </row>
    <row r="31" spans="1:18">
      <c r="A31" s="3">
        <v>116</v>
      </c>
      <c r="B31" s="3" t="s">
        <v>30</v>
      </c>
      <c r="C31" s="4">
        <v>73</v>
      </c>
      <c r="D31" s="3" t="s">
        <v>0</v>
      </c>
      <c r="E31" s="5">
        <v>63</v>
      </c>
      <c r="F31" s="3" t="s">
        <v>0</v>
      </c>
      <c r="G31" s="3" t="s">
        <v>7</v>
      </c>
      <c r="H31" s="4">
        <v>66</v>
      </c>
      <c r="I31" s="3" t="s">
        <v>11</v>
      </c>
      <c r="J31" s="3" t="s">
        <v>3</v>
      </c>
      <c r="K31" s="4">
        <v>89</v>
      </c>
      <c r="L31" s="3" t="s">
        <v>9</v>
      </c>
      <c r="M31" s="4">
        <v>60.5</v>
      </c>
      <c r="N31" s="4" t="str">
        <f t="shared" si="0"/>
        <v>First Class</v>
      </c>
      <c r="O31" s="6" t="s">
        <v>5</v>
      </c>
      <c r="P31" s="6" t="str">
        <f>IF(AND(Table2[[#This Row],[Workex]]="Yes",Table2[[#This Row],[Degree_P]]&gt;70%),"High Priority", "Standard")</f>
        <v>Standard</v>
      </c>
      <c r="Q31" s="9">
        <v>216000</v>
      </c>
      <c r="R31" s="17">
        <f>IF(Table2[[#This Row],[Etest_P]]&gt;90,Table2[[#This Row],[Adjusted Salary ]]+(Table2[[#This Row],[Adjusted Salary ]]*5%),Table2[[#This Row],[Adjusted Salary ]])</f>
        <v>216000</v>
      </c>
    </row>
    <row r="32" spans="1:18">
      <c r="A32" s="3">
        <v>144</v>
      </c>
      <c r="B32" s="3" t="s">
        <v>29</v>
      </c>
      <c r="C32" s="4">
        <v>77.67</v>
      </c>
      <c r="D32" s="3" t="s">
        <v>0</v>
      </c>
      <c r="E32" s="5">
        <v>64.89</v>
      </c>
      <c r="F32" s="3" t="s">
        <v>0</v>
      </c>
      <c r="G32" s="3" t="s">
        <v>1</v>
      </c>
      <c r="H32" s="4">
        <v>70.67</v>
      </c>
      <c r="I32" s="3" t="s">
        <v>11</v>
      </c>
      <c r="J32" s="3" t="s">
        <v>3</v>
      </c>
      <c r="K32" s="4">
        <v>89</v>
      </c>
      <c r="L32" s="3" t="s">
        <v>9</v>
      </c>
      <c r="M32" s="4">
        <v>60.39</v>
      </c>
      <c r="N32" s="4" t="str">
        <f t="shared" si="0"/>
        <v>First Class</v>
      </c>
      <c r="O32" s="6" t="s">
        <v>5</v>
      </c>
      <c r="P32" s="6" t="str">
        <f>IF(AND(Table2[[#This Row],[Workex]]="Yes",Table2[[#This Row],[Degree_P]]&gt;70%),"High Priority", "Standard")</f>
        <v>Standard</v>
      </c>
      <c r="Q32" s="9">
        <v>300000</v>
      </c>
      <c r="R32" s="17">
        <f>IF(Table2[[#This Row],[Etest_P]]&gt;90,Table2[[#This Row],[Adjusted Salary ]]+(Table2[[#This Row],[Adjusted Salary ]]*5%),Table2[[#This Row],[Adjusted Salary ]])</f>
        <v>300000</v>
      </c>
    </row>
    <row r="33" spans="1:18">
      <c r="A33" s="6">
        <v>178</v>
      </c>
      <c r="B33" s="6" t="s">
        <v>30</v>
      </c>
      <c r="C33" s="7">
        <v>73</v>
      </c>
      <c r="D33" s="6" t="s">
        <v>6</v>
      </c>
      <c r="E33" s="8">
        <v>97</v>
      </c>
      <c r="F33" s="6" t="s">
        <v>0</v>
      </c>
      <c r="G33" s="6" t="s">
        <v>1</v>
      </c>
      <c r="H33" s="7">
        <v>79</v>
      </c>
      <c r="I33" s="6" t="s">
        <v>11</v>
      </c>
      <c r="J33" s="6" t="s">
        <v>8</v>
      </c>
      <c r="K33" s="7">
        <v>89</v>
      </c>
      <c r="L33" s="6" t="s">
        <v>9</v>
      </c>
      <c r="M33" s="7">
        <v>70.81</v>
      </c>
      <c r="N33" s="7" t="str">
        <f t="shared" si="0"/>
        <v>First Class</v>
      </c>
      <c r="O33" s="6" t="s">
        <v>5</v>
      </c>
      <c r="P33" s="6" t="str">
        <f>IF(AND(Table2[[#This Row],[Workex]]="Yes",Table2[[#This Row],[Degree_P]]&gt;70%),"High Priority", "Standard")</f>
        <v>High Priority</v>
      </c>
      <c r="Q33" s="10">
        <v>650000</v>
      </c>
      <c r="R33" s="17">
        <f>IF(Table2[[#This Row],[Etest_P]]&gt;90,Table2[[#This Row],[Adjusted Salary ]]+(Table2[[#This Row],[Adjusted Salary ]]*5%),Table2[[#This Row],[Adjusted Salary ]])</f>
        <v>650000</v>
      </c>
    </row>
    <row r="34" spans="1:18">
      <c r="A34" s="6">
        <v>215</v>
      </c>
      <c r="B34" s="6" t="s">
        <v>29</v>
      </c>
      <c r="C34" s="7">
        <v>62</v>
      </c>
      <c r="D34" s="6" t="s">
        <v>6</v>
      </c>
      <c r="E34" s="8">
        <v>58</v>
      </c>
      <c r="F34" s="6" t="s">
        <v>0</v>
      </c>
      <c r="G34" s="6" t="s">
        <v>7</v>
      </c>
      <c r="H34" s="7">
        <v>53</v>
      </c>
      <c r="I34" s="6" t="s">
        <v>11</v>
      </c>
      <c r="J34" s="6" t="s">
        <v>3</v>
      </c>
      <c r="K34" s="7">
        <v>89</v>
      </c>
      <c r="L34" s="6" t="s">
        <v>4</v>
      </c>
      <c r="M34" s="7">
        <v>60.22</v>
      </c>
      <c r="N34" s="7" t="str">
        <f t="shared" si="0"/>
        <v>First Class</v>
      </c>
      <c r="O34" s="6" t="s">
        <v>12</v>
      </c>
      <c r="P34" s="6" t="str">
        <f>IF(AND(Table2[[#This Row],[Workex]]="Yes",Table2[[#This Row],[Degree_P]]&gt;70%),"High Priority", "Standard")</f>
        <v>Standard</v>
      </c>
      <c r="Q34" s="10">
        <v>0</v>
      </c>
      <c r="R34" s="17">
        <f>IF(Table2[[#This Row],[Etest_P]]&gt;90,Table2[[#This Row],[Adjusted Salary ]]+(Table2[[#This Row],[Adjusted Salary ]]*5%),Table2[[#This Row],[Adjusted Salary ]])</f>
        <v>0</v>
      </c>
    </row>
    <row r="35" spans="1:18">
      <c r="A35" s="3">
        <v>208</v>
      </c>
      <c r="B35" s="3" t="s">
        <v>29</v>
      </c>
      <c r="C35" s="4">
        <v>83.33</v>
      </c>
      <c r="D35" s="3" t="s">
        <v>6</v>
      </c>
      <c r="E35" s="5">
        <v>78</v>
      </c>
      <c r="F35" s="3" t="s">
        <v>0</v>
      </c>
      <c r="G35" s="3" t="s">
        <v>1</v>
      </c>
      <c r="H35" s="4">
        <v>61</v>
      </c>
      <c r="I35" s="3" t="s">
        <v>11</v>
      </c>
      <c r="J35" s="3" t="s">
        <v>8</v>
      </c>
      <c r="K35" s="4">
        <v>88.56</v>
      </c>
      <c r="L35" s="3" t="s">
        <v>9</v>
      </c>
      <c r="M35" s="4">
        <v>71.55</v>
      </c>
      <c r="N35" s="4" t="str">
        <f t="shared" si="0"/>
        <v>First Class</v>
      </c>
      <c r="O35" s="6" t="s">
        <v>5</v>
      </c>
      <c r="P35" s="6" t="str">
        <f>IF(AND(Table2[[#This Row],[Workex]]="Yes",Table2[[#This Row],[Degree_P]]&gt;70%),"High Priority", "Standard")</f>
        <v>High Priority</v>
      </c>
      <c r="Q35" s="9">
        <v>300000</v>
      </c>
      <c r="R35" s="17">
        <f>IF(Table2[[#This Row],[Etest_P]]&gt;90,Table2[[#This Row],[Adjusted Salary ]]+(Table2[[#This Row],[Adjusted Salary ]]*5%),Table2[[#This Row],[Adjusted Salary ]])</f>
        <v>300000</v>
      </c>
    </row>
    <row r="36" spans="1:18">
      <c r="A36" s="3">
        <v>34</v>
      </c>
      <c r="B36" s="3" t="s">
        <v>30</v>
      </c>
      <c r="C36" s="4">
        <v>87</v>
      </c>
      <c r="D36" s="3" t="s">
        <v>0</v>
      </c>
      <c r="E36" s="5">
        <v>65</v>
      </c>
      <c r="F36" s="3" t="s">
        <v>0</v>
      </c>
      <c r="G36" s="3" t="s">
        <v>7</v>
      </c>
      <c r="H36" s="4">
        <v>81</v>
      </c>
      <c r="I36" s="3" t="s">
        <v>11</v>
      </c>
      <c r="J36" s="3" t="s">
        <v>8</v>
      </c>
      <c r="K36" s="4">
        <v>88</v>
      </c>
      <c r="L36" s="3" t="s">
        <v>9</v>
      </c>
      <c r="M36" s="4">
        <v>72.78</v>
      </c>
      <c r="N36" s="4" t="str">
        <f t="shared" si="0"/>
        <v>First Class</v>
      </c>
      <c r="O36" s="6" t="s">
        <v>5</v>
      </c>
      <c r="P36" s="6" t="str">
        <f>IF(AND(Table2[[#This Row],[Workex]]="Yes",Table2[[#This Row],[Degree_P]]&gt;70%),"High Priority", "Standard")</f>
        <v>High Priority</v>
      </c>
      <c r="Q36" s="9">
        <v>260000</v>
      </c>
      <c r="R36" s="17">
        <f>IF(Table2[[#This Row],[Etest_P]]&gt;90,Table2[[#This Row],[Adjusted Salary ]]+(Table2[[#This Row],[Adjusted Salary ]]*5%),Table2[[#This Row],[Adjusted Salary ]])</f>
        <v>260000</v>
      </c>
    </row>
    <row r="37" spans="1:18">
      <c r="A37" s="6">
        <v>199</v>
      </c>
      <c r="B37" s="6" t="s">
        <v>30</v>
      </c>
      <c r="C37" s="7">
        <v>67</v>
      </c>
      <c r="D37" s="6" t="s">
        <v>6</v>
      </c>
      <c r="E37" s="8">
        <v>70</v>
      </c>
      <c r="F37" s="6" t="s">
        <v>6</v>
      </c>
      <c r="G37" s="6" t="s">
        <v>1</v>
      </c>
      <c r="H37" s="7">
        <v>65</v>
      </c>
      <c r="I37" s="6" t="s">
        <v>0</v>
      </c>
      <c r="J37" s="6" t="s">
        <v>3</v>
      </c>
      <c r="K37" s="7">
        <v>88</v>
      </c>
      <c r="L37" s="6" t="s">
        <v>4</v>
      </c>
      <c r="M37" s="7">
        <v>71.959999999999994</v>
      </c>
      <c r="N37" s="7" t="str">
        <f t="shared" si="0"/>
        <v>First Class</v>
      </c>
      <c r="O37" s="6" t="s">
        <v>12</v>
      </c>
      <c r="P37" s="6" t="str">
        <f>IF(AND(Table2[[#This Row],[Workex]]="Yes",Table2[[#This Row],[Degree_P]]&gt;70%),"High Priority", "Standard")</f>
        <v>Standard</v>
      </c>
      <c r="Q37" s="10">
        <v>0</v>
      </c>
      <c r="R37" s="17">
        <f>IF(Table2[[#This Row],[Etest_P]]&gt;90,Table2[[#This Row],[Adjusted Salary ]]+(Table2[[#This Row],[Adjusted Salary ]]*5%),Table2[[#This Row],[Adjusted Salary ]])</f>
        <v>0</v>
      </c>
    </row>
    <row r="38" spans="1:18">
      <c r="A38" s="3">
        <v>201</v>
      </c>
      <c r="B38" s="3" t="s">
        <v>29</v>
      </c>
      <c r="C38" s="4">
        <v>69</v>
      </c>
      <c r="D38" s="3" t="s">
        <v>0</v>
      </c>
      <c r="E38" s="5">
        <v>60</v>
      </c>
      <c r="F38" s="3" t="s">
        <v>0</v>
      </c>
      <c r="G38" s="3" t="s">
        <v>1</v>
      </c>
      <c r="H38" s="4">
        <v>65</v>
      </c>
      <c r="I38" s="3" t="s">
        <v>11</v>
      </c>
      <c r="J38" s="3" t="s">
        <v>3</v>
      </c>
      <c r="K38" s="4">
        <v>87.55</v>
      </c>
      <c r="L38" s="3" t="s">
        <v>9</v>
      </c>
      <c r="M38" s="4">
        <v>52.81</v>
      </c>
      <c r="N38" s="4" t="str">
        <f t="shared" si="0"/>
        <v>Pass</v>
      </c>
      <c r="O38" s="6" t="s">
        <v>5</v>
      </c>
      <c r="P38" s="6" t="str">
        <f>IF(AND(Table2[[#This Row],[Workex]]="Yes",Table2[[#This Row],[Degree_P]]&gt;70%),"High Priority", "Standard")</f>
        <v>Standard</v>
      </c>
      <c r="Q38" s="9">
        <v>300000</v>
      </c>
      <c r="R38" s="17">
        <f>IF(Table2[[#This Row],[Etest_P]]&gt;90,Table2[[#This Row],[Adjusted Salary ]]+(Table2[[#This Row],[Adjusted Salary ]]*5%),Table2[[#This Row],[Adjusted Salary ]])</f>
        <v>300000</v>
      </c>
    </row>
    <row r="39" spans="1:18">
      <c r="A39" s="3">
        <v>176</v>
      </c>
      <c r="B39" s="3" t="s">
        <v>29</v>
      </c>
      <c r="C39" s="4">
        <v>63</v>
      </c>
      <c r="D39" s="3" t="s">
        <v>0</v>
      </c>
      <c r="E39" s="5">
        <v>62</v>
      </c>
      <c r="F39" s="3" t="s">
        <v>0</v>
      </c>
      <c r="G39" s="3" t="s">
        <v>7</v>
      </c>
      <c r="H39" s="4">
        <v>65</v>
      </c>
      <c r="I39" s="3" t="s">
        <v>2</v>
      </c>
      <c r="J39" s="3" t="s">
        <v>3</v>
      </c>
      <c r="K39" s="4">
        <v>87.5</v>
      </c>
      <c r="L39" s="3" t="s">
        <v>4</v>
      </c>
      <c r="M39" s="4">
        <v>60.69</v>
      </c>
      <c r="N39" s="4" t="str">
        <f t="shared" si="0"/>
        <v>First Class</v>
      </c>
      <c r="O39" s="6" t="s">
        <v>12</v>
      </c>
      <c r="P39" s="6" t="str">
        <f>IF(AND(Table2[[#This Row],[Workex]]="Yes",Table2[[#This Row],[Degree_P]]&gt;70%),"High Priority", "Standard")</f>
        <v>Standard</v>
      </c>
      <c r="Q39" s="9">
        <v>0</v>
      </c>
      <c r="R39" s="17">
        <f>IF(Table2[[#This Row],[Etest_P]]&gt;90,Table2[[#This Row],[Adjusted Salary ]]+(Table2[[#This Row],[Adjusted Salary ]]*5%),Table2[[#This Row],[Adjusted Salary ]])</f>
        <v>0</v>
      </c>
    </row>
    <row r="40" spans="1:18">
      <c r="A40" s="3">
        <v>54</v>
      </c>
      <c r="B40" s="3" t="s">
        <v>29</v>
      </c>
      <c r="C40" s="4">
        <v>80</v>
      </c>
      <c r="D40" s="3" t="s">
        <v>0</v>
      </c>
      <c r="E40" s="5">
        <v>70</v>
      </c>
      <c r="F40" s="3" t="s">
        <v>0</v>
      </c>
      <c r="G40" s="3" t="s">
        <v>7</v>
      </c>
      <c r="H40" s="4">
        <v>72</v>
      </c>
      <c r="I40" s="3" t="s">
        <v>2</v>
      </c>
      <c r="J40" s="3" t="s">
        <v>3</v>
      </c>
      <c r="K40" s="4">
        <v>87</v>
      </c>
      <c r="L40" s="3" t="s">
        <v>4</v>
      </c>
      <c r="M40" s="4">
        <v>71.040000000000006</v>
      </c>
      <c r="N40" s="4" t="str">
        <f t="shared" si="0"/>
        <v>First Class</v>
      </c>
      <c r="O40" s="6" t="s">
        <v>5</v>
      </c>
      <c r="P40" s="6" t="str">
        <f>IF(AND(Table2[[#This Row],[Workex]]="Yes",Table2[[#This Row],[Degree_P]]&gt;70%),"High Priority", "Standard")</f>
        <v>Standard</v>
      </c>
      <c r="Q40" s="9">
        <v>450000</v>
      </c>
      <c r="R40" s="17">
        <f>IF(Table2[[#This Row],[Etest_P]]&gt;90,Table2[[#This Row],[Adjusted Salary ]]+(Table2[[#This Row],[Adjusted Salary ]]*5%),Table2[[#This Row],[Adjusted Salary ]])</f>
        <v>450000</v>
      </c>
    </row>
    <row r="41" spans="1:18">
      <c r="A41" s="3">
        <v>2</v>
      </c>
      <c r="B41" s="3" t="s">
        <v>29</v>
      </c>
      <c r="C41" s="4">
        <v>79.33</v>
      </c>
      <c r="D41" s="3" t="s">
        <v>6</v>
      </c>
      <c r="E41" s="5">
        <v>78.33</v>
      </c>
      <c r="F41" s="3" t="s">
        <v>0</v>
      </c>
      <c r="G41" s="3" t="s">
        <v>7</v>
      </c>
      <c r="H41" s="4">
        <v>77.48</v>
      </c>
      <c r="I41" s="3" t="s">
        <v>2</v>
      </c>
      <c r="J41" s="3" t="s">
        <v>8</v>
      </c>
      <c r="K41" s="4">
        <v>86.5</v>
      </c>
      <c r="L41" s="3" t="s">
        <v>9</v>
      </c>
      <c r="M41" s="4">
        <v>66.28</v>
      </c>
      <c r="N41" s="4" t="str">
        <f t="shared" si="0"/>
        <v>First Class</v>
      </c>
      <c r="O41" s="6" t="s">
        <v>5</v>
      </c>
      <c r="P41" s="6" t="str">
        <f>IF(AND(Table2[[#This Row],[Workex]]="Yes",Table2[[#This Row],[Degree_P]]&gt;70%),"High Priority", "Standard")</f>
        <v>High Priority</v>
      </c>
      <c r="Q41" s="9">
        <v>200000</v>
      </c>
      <c r="R41" s="17">
        <f>IF(Table2[[#This Row],[Etest_P]]&gt;90,Table2[[#This Row],[Adjusted Salary ]]+(Table2[[#This Row],[Adjusted Salary ]]*5%),Table2[[#This Row],[Adjusted Salary ]])</f>
        <v>200000</v>
      </c>
    </row>
    <row r="42" spans="1:18">
      <c r="A42" s="3">
        <v>79</v>
      </c>
      <c r="B42" s="3" t="s">
        <v>29</v>
      </c>
      <c r="C42" s="4">
        <v>84</v>
      </c>
      <c r="D42" s="3" t="s">
        <v>0</v>
      </c>
      <c r="E42" s="5">
        <v>90.9</v>
      </c>
      <c r="F42" s="3" t="s">
        <v>0</v>
      </c>
      <c r="G42" s="3" t="s">
        <v>7</v>
      </c>
      <c r="H42" s="4">
        <v>64.5</v>
      </c>
      <c r="I42" s="3" t="s">
        <v>2</v>
      </c>
      <c r="J42" s="3" t="s">
        <v>3</v>
      </c>
      <c r="K42" s="4">
        <v>86.04</v>
      </c>
      <c r="L42" s="3" t="s">
        <v>9</v>
      </c>
      <c r="M42" s="4">
        <v>59.42</v>
      </c>
      <c r="N42" s="4" t="str">
        <f t="shared" si="0"/>
        <v>Pass</v>
      </c>
      <c r="O42" s="6" t="s">
        <v>5</v>
      </c>
      <c r="P42" s="6" t="str">
        <f>IF(AND(Table2[[#This Row],[Workex]]="Yes",Table2[[#This Row],[Degree_P]]&gt;70%),"High Priority", "Standard")</f>
        <v>Standard</v>
      </c>
      <c r="Q42" s="9">
        <v>270000</v>
      </c>
      <c r="R42" s="17">
        <f>IF(Table2[[#This Row],[Etest_P]]&gt;90,Table2[[#This Row],[Adjusted Salary ]]+(Table2[[#This Row],[Adjusted Salary ]]*5%),Table2[[#This Row],[Adjusted Salary ]])</f>
        <v>270000</v>
      </c>
    </row>
    <row r="43" spans="1:18">
      <c r="A43" s="6">
        <v>74</v>
      </c>
      <c r="B43" s="6" t="s">
        <v>29</v>
      </c>
      <c r="C43" s="7">
        <v>64.599999999999994</v>
      </c>
      <c r="D43" s="6" t="s">
        <v>6</v>
      </c>
      <c r="E43" s="8">
        <v>83.83</v>
      </c>
      <c r="F43" s="6" t="s">
        <v>0</v>
      </c>
      <c r="G43" s="6" t="s">
        <v>1</v>
      </c>
      <c r="H43" s="7">
        <v>71.72</v>
      </c>
      <c r="I43" s="6" t="s">
        <v>11</v>
      </c>
      <c r="J43" s="6" t="s">
        <v>3</v>
      </c>
      <c r="K43" s="7">
        <v>86</v>
      </c>
      <c r="L43" s="6" t="s">
        <v>9</v>
      </c>
      <c r="M43" s="7">
        <v>59.75</v>
      </c>
      <c r="N43" s="7" t="str">
        <f t="shared" si="0"/>
        <v>Pass</v>
      </c>
      <c r="O43" s="6" t="s">
        <v>5</v>
      </c>
      <c r="P43" s="6" t="str">
        <f>IF(AND(Table2[[#This Row],[Workex]]="Yes",Table2[[#This Row],[Degree_P]]&gt;70%),"High Priority", "Standard")</f>
        <v>Standard</v>
      </c>
      <c r="Q43" s="10">
        <v>218000</v>
      </c>
      <c r="R43" s="17">
        <f>IF(Table2[[#This Row],[Etest_P]]&gt;90,Table2[[#This Row],[Adjusted Salary ]]+(Table2[[#This Row],[Adjusted Salary ]]*5%),Table2[[#This Row],[Adjusted Salary ]])</f>
        <v>218000</v>
      </c>
    </row>
    <row r="44" spans="1:18">
      <c r="A44" s="6">
        <v>82</v>
      </c>
      <c r="B44" s="6" t="s">
        <v>29</v>
      </c>
      <c r="C44" s="7">
        <v>81.7</v>
      </c>
      <c r="D44" s="6" t="s">
        <v>0</v>
      </c>
      <c r="E44" s="8">
        <v>63</v>
      </c>
      <c r="F44" s="6" t="s">
        <v>0</v>
      </c>
      <c r="G44" s="6" t="s">
        <v>7</v>
      </c>
      <c r="H44" s="7">
        <v>67</v>
      </c>
      <c r="I44" s="6" t="s">
        <v>11</v>
      </c>
      <c r="J44" s="6" t="s">
        <v>8</v>
      </c>
      <c r="K44" s="7">
        <v>86</v>
      </c>
      <c r="L44" s="6" t="s">
        <v>9</v>
      </c>
      <c r="M44" s="7">
        <v>70.2</v>
      </c>
      <c r="N44" s="7" t="str">
        <f t="shared" si="0"/>
        <v>First Class</v>
      </c>
      <c r="O44" s="6" t="s">
        <v>5</v>
      </c>
      <c r="P44" s="6" t="str">
        <f>IF(AND(Table2[[#This Row],[Workex]]="Yes",Table2[[#This Row],[Degree_P]]&gt;70%),"High Priority", "Standard")</f>
        <v>High Priority</v>
      </c>
      <c r="Q44" s="10">
        <v>300000</v>
      </c>
      <c r="R44" s="17">
        <f>IF(Table2[[#This Row],[Etest_P]]&gt;90,Table2[[#This Row],[Adjusted Salary ]]+(Table2[[#This Row],[Adjusted Salary ]]*5%),Table2[[#This Row],[Adjusted Salary ]])</f>
        <v>300000</v>
      </c>
    </row>
    <row r="45" spans="1:18">
      <c r="A45" s="3">
        <v>110</v>
      </c>
      <c r="B45" s="3" t="s">
        <v>29</v>
      </c>
      <c r="C45" s="4">
        <v>52</v>
      </c>
      <c r="D45" s="3" t="s">
        <v>6</v>
      </c>
      <c r="E45" s="5">
        <v>63</v>
      </c>
      <c r="F45" s="3" t="s">
        <v>0</v>
      </c>
      <c r="G45" s="3" t="s">
        <v>7</v>
      </c>
      <c r="H45" s="4">
        <v>65</v>
      </c>
      <c r="I45" s="3" t="s">
        <v>2</v>
      </c>
      <c r="J45" s="3" t="s">
        <v>8</v>
      </c>
      <c r="K45" s="4">
        <v>86</v>
      </c>
      <c r="L45" s="3" t="s">
        <v>4</v>
      </c>
      <c r="M45" s="4">
        <v>56.09</v>
      </c>
      <c r="N45" s="4" t="str">
        <f t="shared" si="0"/>
        <v>Pass</v>
      </c>
      <c r="O45" s="6" t="s">
        <v>12</v>
      </c>
      <c r="P45" s="6" t="str">
        <f>IF(AND(Table2[[#This Row],[Workex]]="Yes",Table2[[#This Row],[Degree_P]]&gt;70%),"High Priority", "Standard")</f>
        <v>High Priority</v>
      </c>
      <c r="Q45" s="9">
        <v>0</v>
      </c>
      <c r="R45" s="17">
        <f>IF(Table2[[#This Row],[Etest_P]]&gt;90,Table2[[#This Row],[Adjusted Salary ]]+(Table2[[#This Row],[Adjusted Salary ]]*5%),Table2[[#This Row],[Adjusted Salary ]])</f>
        <v>0</v>
      </c>
    </row>
    <row r="46" spans="1:18">
      <c r="A46" s="3">
        <v>154</v>
      </c>
      <c r="B46" s="3" t="s">
        <v>29</v>
      </c>
      <c r="C46" s="4">
        <v>49</v>
      </c>
      <c r="D46" s="3" t="s">
        <v>0</v>
      </c>
      <c r="E46" s="5">
        <v>59</v>
      </c>
      <c r="F46" s="3" t="s">
        <v>0</v>
      </c>
      <c r="G46" s="3" t="s">
        <v>7</v>
      </c>
      <c r="H46" s="4">
        <v>65</v>
      </c>
      <c r="I46" s="3" t="s">
        <v>2</v>
      </c>
      <c r="J46" s="3" t="s">
        <v>8</v>
      </c>
      <c r="K46" s="4">
        <v>86</v>
      </c>
      <c r="L46" s="3" t="s">
        <v>9</v>
      </c>
      <c r="M46" s="4">
        <v>62.48</v>
      </c>
      <c r="N46" s="4" t="str">
        <f t="shared" si="0"/>
        <v>First Class</v>
      </c>
      <c r="O46" s="6" t="s">
        <v>5</v>
      </c>
      <c r="P46" s="6" t="str">
        <f>IF(AND(Table2[[#This Row],[Workex]]="Yes",Table2[[#This Row],[Degree_P]]&gt;70%),"High Priority", "Standard")</f>
        <v>High Priority</v>
      </c>
      <c r="Q46" s="9">
        <v>340000</v>
      </c>
      <c r="R46" s="17">
        <f>IF(Table2[[#This Row],[Etest_P]]&gt;90,Table2[[#This Row],[Adjusted Salary ]]+(Table2[[#This Row],[Adjusted Salary ]]*5%),Table2[[#This Row],[Adjusted Salary ]])</f>
        <v>340000</v>
      </c>
    </row>
    <row r="47" spans="1:18">
      <c r="A47" s="3">
        <v>104</v>
      </c>
      <c r="B47" s="3" t="s">
        <v>29</v>
      </c>
      <c r="C47" s="4">
        <v>73</v>
      </c>
      <c r="D47" s="3" t="s">
        <v>6</v>
      </c>
      <c r="E47" s="5">
        <v>78</v>
      </c>
      <c r="F47" s="3" t="s">
        <v>6</v>
      </c>
      <c r="G47" s="3" t="s">
        <v>7</v>
      </c>
      <c r="H47" s="4">
        <v>73</v>
      </c>
      <c r="I47" s="3" t="s">
        <v>2</v>
      </c>
      <c r="J47" s="3" t="s">
        <v>8</v>
      </c>
      <c r="K47" s="4">
        <v>85</v>
      </c>
      <c r="L47" s="3" t="s">
        <v>4</v>
      </c>
      <c r="M47" s="4">
        <v>65.83</v>
      </c>
      <c r="N47" s="4" t="str">
        <f t="shared" si="0"/>
        <v>First Class</v>
      </c>
      <c r="O47" s="6" t="s">
        <v>5</v>
      </c>
      <c r="P47" s="6" t="str">
        <f>IF(AND(Table2[[#This Row],[Workex]]="Yes",Table2[[#This Row],[Degree_P]]&gt;70%),"High Priority", "Standard")</f>
        <v>High Priority</v>
      </c>
      <c r="Q47" s="9">
        <v>240000</v>
      </c>
      <c r="R47" s="17">
        <f>IF(Table2[[#This Row],[Etest_P]]&gt;90,Table2[[#This Row],[Adjusted Salary ]]+(Table2[[#This Row],[Adjusted Salary ]]*5%),Table2[[#This Row],[Adjusted Salary ]])</f>
        <v>240000</v>
      </c>
    </row>
    <row r="48" spans="1:18">
      <c r="A48" s="3">
        <v>106</v>
      </c>
      <c r="B48" s="3" t="s">
        <v>29</v>
      </c>
      <c r="C48" s="4">
        <v>59</v>
      </c>
      <c r="D48" s="3" t="s">
        <v>6</v>
      </c>
      <c r="E48" s="5">
        <v>64</v>
      </c>
      <c r="F48" s="3" t="s">
        <v>0</v>
      </c>
      <c r="G48" s="3" t="s">
        <v>7</v>
      </c>
      <c r="H48" s="4">
        <v>58</v>
      </c>
      <c r="I48" s="3" t="s">
        <v>2</v>
      </c>
      <c r="J48" s="3" t="s">
        <v>3</v>
      </c>
      <c r="K48" s="4">
        <v>85</v>
      </c>
      <c r="L48" s="3" t="s">
        <v>4</v>
      </c>
      <c r="M48" s="4">
        <v>55.3</v>
      </c>
      <c r="N48" s="4" t="str">
        <f t="shared" si="0"/>
        <v>Pass</v>
      </c>
      <c r="O48" s="6" t="s">
        <v>12</v>
      </c>
      <c r="P48" s="6" t="str">
        <f>IF(AND(Table2[[#This Row],[Workex]]="Yes",Table2[[#This Row],[Degree_P]]&gt;70%),"High Priority", "Standard")</f>
        <v>Standard</v>
      </c>
      <c r="Q48" s="9">
        <v>0</v>
      </c>
      <c r="R48" s="17">
        <f>IF(Table2[[#This Row],[Etest_P]]&gt;90,Table2[[#This Row],[Adjusted Salary ]]+(Table2[[#This Row],[Adjusted Salary ]]*5%),Table2[[#This Row],[Adjusted Salary ]])</f>
        <v>0</v>
      </c>
    </row>
    <row r="49" spans="1:18">
      <c r="A49" s="3">
        <v>147</v>
      </c>
      <c r="B49" s="3" t="s">
        <v>29</v>
      </c>
      <c r="C49" s="4">
        <v>62</v>
      </c>
      <c r="D49" s="3" t="s">
        <v>6</v>
      </c>
      <c r="E49" s="5">
        <v>63</v>
      </c>
      <c r="F49" s="3" t="s">
        <v>0</v>
      </c>
      <c r="G49" s="3" t="s">
        <v>7</v>
      </c>
      <c r="H49" s="4">
        <v>66</v>
      </c>
      <c r="I49" s="3" t="s">
        <v>11</v>
      </c>
      <c r="J49" s="3" t="s">
        <v>3</v>
      </c>
      <c r="K49" s="4">
        <v>85</v>
      </c>
      <c r="L49" s="3" t="s">
        <v>4</v>
      </c>
      <c r="M49" s="4">
        <v>55.14</v>
      </c>
      <c r="N49" s="4" t="str">
        <f t="shared" si="0"/>
        <v>Pass</v>
      </c>
      <c r="O49" s="6" t="s">
        <v>5</v>
      </c>
      <c r="P49" s="6" t="str">
        <f>IF(AND(Table2[[#This Row],[Workex]]="Yes",Table2[[#This Row],[Degree_P]]&gt;70%),"High Priority", "Standard")</f>
        <v>Standard</v>
      </c>
      <c r="Q49" s="9">
        <v>233000</v>
      </c>
      <c r="R49" s="17">
        <f>IF(Table2[[#This Row],[Etest_P]]&gt;90,Table2[[#This Row],[Adjusted Salary ]]+(Table2[[#This Row],[Adjusted Salary ]]*5%),Table2[[#This Row],[Adjusted Salary ]])</f>
        <v>233000</v>
      </c>
    </row>
    <row r="50" spans="1:18">
      <c r="A50" s="3">
        <v>75</v>
      </c>
      <c r="B50" s="3" t="s">
        <v>29</v>
      </c>
      <c r="C50" s="4">
        <v>56.6</v>
      </c>
      <c r="D50" s="3" t="s">
        <v>6</v>
      </c>
      <c r="E50" s="5">
        <v>64.8</v>
      </c>
      <c r="F50" s="3" t="s">
        <v>6</v>
      </c>
      <c r="G50" s="3" t="s">
        <v>1</v>
      </c>
      <c r="H50" s="4">
        <v>70.2</v>
      </c>
      <c r="I50" s="3" t="s">
        <v>11</v>
      </c>
      <c r="J50" s="3" t="s">
        <v>3</v>
      </c>
      <c r="K50" s="4">
        <v>84.27</v>
      </c>
      <c r="L50" s="3" t="s">
        <v>9</v>
      </c>
      <c r="M50" s="4">
        <v>67.2</v>
      </c>
      <c r="N50" s="4" t="str">
        <f t="shared" si="0"/>
        <v>First Class</v>
      </c>
      <c r="O50" s="6" t="s">
        <v>5</v>
      </c>
      <c r="P50" s="6" t="str">
        <f>IF(AND(Table2[[#This Row],[Workex]]="Yes",Table2[[#This Row],[Degree_P]]&gt;70%),"High Priority", "Standard")</f>
        <v>Standard</v>
      </c>
      <c r="Q50" s="9">
        <v>336000</v>
      </c>
      <c r="R50" s="17">
        <f>IF(Table2[[#This Row],[Etest_P]]&gt;90,Table2[[#This Row],[Adjusted Salary ]]+(Table2[[#This Row],[Adjusted Salary ]]*5%),Table2[[#This Row],[Adjusted Salary ]])</f>
        <v>336000</v>
      </c>
    </row>
    <row r="51" spans="1:18">
      <c r="A51" s="6">
        <v>84</v>
      </c>
      <c r="B51" s="6" t="s">
        <v>29</v>
      </c>
      <c r="C51" s="7">
        <v>84</v>
      </c>
      <c r="D51" s="6" t="s">
        <v>0</v>
      </c>
      <c r="E51" s="8">
        <v>79</v>
      </c>
      <c r="F51" s="6" t="s">
        <v>0</v>
      </c>
      <c r="G51" s="6" t="s">
        <v>7</v>
      </c>
      <c r="H51" s="7">
        <v>68</v>
      </c>
      <c r="I51" s="6" t="s">
        <v>2</v>
      </c>
      <c r="J51" s="6" t="s">
        <v>8</v>
      </c>
      <c r="K51" s="7">
        <v>84</v>
      </c>
      <c r="L51" s="6" t="s">
        <v>9</v>
      </c>
      <c r="M51" s="7">
        <v>66.69</v>
      </c>
      <c r="N51" s="7" t="str">
        <f t="shared" si="0"/>
        <v>First Class</v>
      </c>
      <c r="O51" s="6" t="s">
        <v>5</v>
      </c>
      <c r="P51" s="6" t="str">
        <f>IF(AND(Table2[[#This Row],[Workex]]="Yes",Table2[[#This Row],[Degree_P]]&gt;70%),"High Priority", "Standard")</f>
        <v>High Priority</v>
      </c>
      <c r="Q51" s="10">
        <v>300000</v>
      </c>
      <c r="R51" s="17">
        <f>IF(Table2[[#This Row],[Etest_P]]&gt;90,Table2[[#This Row],[Adjusted Salary ]]+(Table2[[#This Row],[Adjusted Salary ]]*5%),Table2[[#This Row],[Adjusted Salary ]])</f>
        <v>300000</v>
      </c>
    </row>
    <row r="52" spans="1:18">
      <c r="A52" s="6">
        <v>109</v>
      </c>
      <c r="B52" s="6" t="s">
        <v>29</v>
      </c>
      <c r="C52" s="7">
        <v>61</v>
      </c>
      <c r="D52" s="6" t="s">
        <v>6</v>
      </c>
      <c r="E52" s="8">
        <v>82</v>
      </c>
      <c r="F52" s="6" t="s">
        <v>6</v>
      </c>
      <c r="G52" s="6" t="s">
        <v>1</v>
      </c>
      <c r="H52" s="7">
        <v>69</v>
      </c>
      <c r="I52" s="6" t="s">
        <v>11</v>
      </c>
      <c r="J52" s="6" t="s">
        <v>3</v>
      </c>
      <c r="K52" s="7">
        <v>84</v>
      </c>
      <c r="L52" s="6" t="s">
        <v>9</v>
      </c>
      <c r="M52" s="7">
        <v>58.31</v>
      </c>
      <c r="N52" s="7" t="str">
        <f t="shared" si="0"/>
        <v>Pass</v>
      </c>
      <c r="O52" s="6" t="s">
        <v>5</v>
      </c>
      <c r="P52" s="6" t="str">
        <f>IF(AND(Table2[[#This Row],[Workex]]="Yes",Table2[[#This Row],[Degree_P]]&gt;70%),"High Priority", "Standard")</f>
        <v>Standard</v>
      </c>
      <c r="Q52" s="10">
        <v>300000</v>
      </c>
      <c r="R52" s="17">
        <f>IF(Table2[[#This Row],[Etest_P]]&gt;90,Table2[[#This Row],[Adjusted Salary ]]+(Table2[[#This Row],[Adjusted Salary ]]*5%),Table2[[#This Row],[Adjusted Salary ]])</f>
        <v>300000</v>
      </c>
    </row>
    <row r="53" spans="1:18">
      <c r="A53" s="3">
        <v>131</v>
      </c>
      <c r="B53" s="3" t="s">
        <v>29</v>
      </c>
      <c r="C53" s="4">
        <v>62</v>
      </c>
      <c r="D53" s="3" t="s">
        <v>6</v>
      </c>
      <c r="E53" s="5">
        <v>65</v>
      </c>
      <c r="F53" s="3" t="s">
        <v>0</v>
      </c>
      <c r="G53" s="3" t="s">
        <v>1</v>
      </c>
      <c r="H53" s="4">
        <v>60</v>
      </c>
      <c r="I53" s="3" t="s">
        <v>11</v>
      </c>
      <c r="J53" s="3" t="s">
        <v>3</v>
      </c>
      <c r="K53" s="4">
        <v>84</v>
      </c>
      <c r="L53" s="3" t="s">
        <v>9</v>
      </c>
      <c r="M53" s="4">
        <v>64.150000000000006</v>
      </c>
      <c r="N53" s="4" t="str">
        <f t="shared" si="0"/>
        <v>First Class</v>
      </c>
      <c r="O53" s="6" t="s">
        <v>12</v>
      </c>
      <c r="P53" s="6" t="str">
        <f>IF(AND(Table2[[#This Row],[Workex]]="Yes",Table2[[#This Row],[Degree_P]]&gt;70%),"High Priority", "Standard")</f>
        <v>Standard</v>
      </c>
      <c r="Q53" s="9">
        <v>0</v>
      </c>
      <c r="R53" s="17">
        <f>IF(Table2[[#This Row],[Etest_P]]&gt;90,Table2[[#This Row],[Adjusted Salary ]]+(Table2[[#This Row],[Adjusted Salary ]]*5%),Table2[[#This Row],[Adjusted Salary ]])</f>
        <v>0</v>
      </c>
    </row>
    <row r="54" spans="1:18">
      <c r="A54" s="3">
        <v>173</v>
      </c>
      <c r="B54" s="3" t="s">
        <v>29</v>
      </c>
      <c r="C54" s="4">
        <v>73</v>
      </c>
      <c r="D54" s="3" t="s">
        <v>0</v>
      </c>
      <c r="E54" s="5">
        <v>58</v>
      </c>
      <c r="F54" s="3" t="s">
        <v>0</v>
      </c>
      <c r="G54" s="3" t="s">
        <v>1</v>
      </c>
      <c r="H54" s="4">
        <v>56</v>
      </c>
      <c r="I54" s="3" t="s">
        <v>11</v>
      </c>
      <c r="J54" s="3" t="s">
        <v>3</v>
      </c>
      <c r="K54" s="4">
        <v>84</v>
      </c>
      <c r="L54" s="3" t="s">
        <v>4</v>
      </c>
      <c r="M54" s="4">
        <v>52.64</v>
      </c>
      <c r="N54" s="4" t="str">
        <f t="shared" si="0"/>
        <v>Pass</v>
      </c>
      <c r="O54" s="6" t="s">
        <v>5</v>
      </c>
      <c r="P54" s="6" t="str">
        <f>IF(AND(Table2[[#This Row],[Workex]]="Yes",Table2[[#This Row],[Degree_P]]&gt;70%),"High Priority", "Standard")</f>
        <v>Standard</v>
      </c>
      <c r="Q54" s="9">
        <v>300000</v>
      </c>
      <c r="R54" s="17">
        <f>IF(Table2[[#This Row],[Etest_P]]&gt;90,Table2[[#This Row],[Adjusted Salary ]]+(Table2[[#This Row],[Adjusted Salary ]]*5%),Table2[[#This Row],[Adjusted Salary ]])</f>
        <v>300000</v>
      </c>
    </row>
    <row r="55" spans="1:18">
      <c r="A55" s="6">
        <v>196</v>
      </c>
      <c r="B55" s="6" t="s">
        <v>29</v>
      </c>
      <c r="C55" s="7">
        <v>66</v>
      </c>
      <c r="D55" s="6" t="s">
        <v>6</v>
      </c>
      <c r="E55" s="8">
        <v>76</v>
      </c>
      <c r="F55" s="6" t="s">
        <v>6</v>
      </c>
      <c r="G55" s="6" t="s">
        <v>1</v>
      </c>
      <c r="H55" s="7">
        <v>72</v>
      </c>
      <c r="I55" s="6" t="s">
        <v>11</v>
      </c>
      <c r="J55" s="6" t="s">
        <v>8</v>
      </c>
      <c r="K55" s="7">
        <v>84</v>
      </c>
      <c r="L55" s="6" t="s">
        <v>4</v>
      </c>
      <c r="M55" s="7">
        <v>58.95</v>
      </c>
      <c r="N55" s="7" t="str">
        <f t="shared" si="0"/>
        <v>Pass</v>
      </c>
      <c r="O55" s="6" t="s">
        <v>5</v>
      </c>
      <c r="P55" s="6" t="str">
        <f>IF(AND(Table2[[#This Row],[Workex]]="Yes",Table2[[#This Row],[Degree_P]]&gt;70%),"High Priority", "Standard")</f>
        <v>High Priority</v>
      </c>
      <c r="Q55" s="10">
        <v>275000</v>
      </c>
      <c r="R55" s="17">
        <f>IF(Table2[[#This Row],[Etest_P]]&gt;90,Table2[[#This Row],[Adjusted Salary ]]+(Table2[[#This Row],[Adjusted Salary ]]*5%),Table2[[#This Row],[Adjusted Salary ]])</f>
        <v>275000</v>
      </c>
    </row>
    <row r="56" spans="1:18">
      <c r="A56" s="3">
        <v>148</v>
      </c>
      <c r="B56" s="3" t="s">
        <v>29</v>
      </c>
      <c r="C56" s="4">
        <v>70</v>
      </c>
      <c r="D56" s="3" t="s">
        <v>6</v>
      </c>
      <c r="E56" s="5">
        <v>74</v>
      </c>
      <c r="F56" s="3" t="s">
        <v>6</v>
      </c>
      <c r="G56" s="3" t="s">
        <v>1</v>
      </c>
      <c r="H56" s="4">
        <v>65</v>
      </c>
      <c r="I56" s="3" t="s">
        <v>11</v>
      </c>
      <c r="J56" s="3" t="s">
        <v>3</v>
      </c>
      <c r="K56" s="4">
        <v>83</v>
      </c>
      <c r="L56" s="3" t="s">
        <v>9</v>
      </c>
      <c r="M56" s="4">
        <v>62.28</v>
      </c>
      <c r="N56" s="4" t="str">
        <f t="shared" si="0"/>
        <v>First Class</v>
      </c>
      <c r="O56" s="6" t="s">
        <v>5</v>
      </c>
      <c r="P56" s="6" t="str">
        <f>IF(AND(Table2[[#This Row],[Workex]]="Yes",Table2[[#This Row],[Degree_P]]&gt;70%),"High Priority", "Standard")</f>
        <v>Standard</v>
      </c>
      <c r="Q56" s="9">
        <v>300000</v>
      </c>
      <c r="R56" s="17">
        <f>IF(Table2[[#This Row],[Etest_P]]&gt;90,Table2[[#This Row],[Adjusted Salary ]]+(Table2[[#This Row],[Adjusted Salary ]]*5%),Table2[[#This Row],[Adjusted Salary ]])</f>
        <v>300000</v>
      </c>
    </row>
    <row r="57" spans="1:18">
      <c r="A57" s="3">
        <v>152</v>
      </c>
      <c r="B57" s="3" t="s">
        <v>29</v>
      </c>
      <c r="C57" s="4">
        <v>65</v>
      </c>
      <c r="D57" s="3" t="s">
        <v>6</v>
      </c>
      <c r="E57" s="5">
        <v>65</v>
      </c>
      <c r="F57" s="3" t="s">
        <v>6</v>
      </c>
      <c r="G57" s="3" t="s">
        <v>1</v>
      </c>
      <c r="H57" s="4">
        <v>75</v>
      </c>
      <c r="I57" s="3" t="s">
        <v>11</v>
      </c>
      <c r="J57" s="3" t="s">
        <v>3</v>
      </c>
      <c r="K57" s="4">
        <v>83</v>
      </c>
      <c r="L57" s="3" t="s">
        <v>9</v>
      </c>
      <c r="M57" s="4">
        <v>58.87</v>
      </c>
      <c r="N57" s="4" t="str">
        <f t="shared" si="0"/>
        <v>Pass</v>
      </c>
      <c r="O57" s="6" t="s">
        <v>5</v>
      </c>
      <c r="P57" s="6" t="str">
        <f>IF(AND(Table2[[#This Row],[Workex]]="Yes",Table2[[#This Row],[Degree_P]]&gt;70%),"High Priority", "Standard")</f>
        <v>Standard</v>
      </c>
      <c r="Q57" s="9">
        <v>270000</v>
      </c>
      <c r="R57" s="17">
        <f>IF(Table2[[#This Row],[Etest_P]]&gt;90,Table2[[#This Row],[Adjusted Salary ]]+(Table2[[#This Row],[Adjusted Salary ]]*5%),Table2[[#This Row],[Adjusted Salary ]])</f>
        <v>270000</v>
      </c>
    </row>
    <row r="58" spans="1:18">
      <c r="A58" s="6">
        <v>120</v>
      </c>
      <c r="B58" s="6" t="s">
        <v>29</v>
      </c>
      <c r="C58" s="7">
        <v>60.8</v>
      </c>
      <c r="D58" s="6" t="s">
        <v>6</v>
      </c>
      <c r="E58" s="8">
        <v>68.400000000000006</v>
      </c>
      <c r="F58" s="6" t="s">
        <v>6</v>
      </c>
      <c r="G58" s="6" t="s">
        <v>1</v>
      </c>
      <c r="H58" s="7">
        <v>64.599999999999994</v>
      </c>
      <c r="I58" s="6" t="s">
        <v>11</v>
      </c>
      <c r="J58" s="6" t="s">
        <v>8</v>
      </c>
      <c r="K58" s="7">
        <v>82.66</v>
      </c>
      <c r="L58" s="6" t="s">
        <v>9</v>
      </c>
      <c r="M58" s="7">
        <v>64.34</v>
      </c>
      <c r="N58" s="7" t="str">
        <f t="shared" si="0"/>
        <v>First Class</v>
      </c>
      <c r="O58" s="6" t="s">
        <v>5</v>
      </c>
      <c r="P58" s="6" t="str">
        <f>IF(AND(Table2[[#This Row],[Workex]]="Yes",Table2[[#This Row],[Degree_P]]&gt;70%),"High Priority", "Standard")</f>
        <v>High Priority</v>
      </c>
      <c r="Q58" s="10">
        <v>940000</v>
      </c>
      <c r="R58" s="17">
        <f>IF(Table2[[#This Row],[Etest_P]]&gt;90,Table2[[#This Row],[Adjusted Salary ]]+(Table2[[#This Row],[Adjusted Salary ]]*5%),Table2[[#This Row],[Adjusted Salary ]])</f>
        <v>940000</v>
      </c>
    </row>
    <row r="59" spans="1:18">
      <c r="A59" s="6">
        <v>83</v>
      </c>
      <c r="B59" s="6" t="s">
        <v>29</v>
      </c>
      <c r="C59" s="7">
        <v>63</v>
      </c>
      <c r="D59" s="6" t="s">
        <v>6</v>
      </c>
      <c r="E59" s="8">
        <v>67</v>
      </c>
      <c r="F59" s="6" t="s">
        <v>6</v>
      </c>
      <c r="G59" s="6" t="s">
        <v>1</v>
      </c>
      <c r="H59" s="7">
        <v>74</v>
      </c>
      <c r="I59" s="6" t="s">
        <v>11</v>
      </c>
      <c r="J59" s="6" t="s">
        <v>3</v>
      </c>
      <c r="K59" s="7">
        <v>82</v>
      </c>
      <c r="L59" s="6" t="s">
        <v>9</v>
      </c>
      <c r="M59" s="7">
        <v>60.44</v>
      </c>
      <c r="N59" s="7" t="str">
        <f t="shared" si="0"/>
        <v>First Class</v>
      </c>
      <c r="O59" s="6" t="s">
        <v>12</v>
      </c>
      <c r="P59" s="6" t="str">
        <f>IF(AND(Table2[[#This Row],[Workex]]="Yes",Table2[[#This Row],[Degree_P]]&gt;70%),"High Priority", "Standard")</f>
        <v>Standard</v>
      </c>
      <c r="Q59" s="10">
        <v>0</v>
      </c>
      <c r="R59" s="17">
        <f>IF(Table2[[#This Row],[Etest_P]]&gt;90,Table2[[#This Row],[Adjusted Salary ]]+(Table2[[#This Row],[Adjusted Salary ]]*5%),Table2[[#This Row],[Adjusted Salary ]])</f>
        <v>0</v>
      </c>
    </row>
    <row r="60" spans="1:18">
      <c r="A60" s="3">
        <v>186</v>
      </c>
      <c r="B60" s="3" t="s">
        <v>30</v>
      </c>
      <c r="C60" s="4">
        <v>88</v>
      </c>
      <c r="D60" s="3" t="s">
        <v>6</v>
      </c>
      <c r="E60" s="5">
        <v>72</v>
      </c>
      <c r="F60" s="3" t="s">
        <v>6</v>
      </c>
      <c r="G60" s="3" t="s">
        <v>7</v>
      </c>
      <c r="H60" s="4">
        <v>78</v>
      </c>
      <c r="I60" s="3" t="s">
        <v>0</v>
      </c>
      <c r="J60" s="3" t="s">
        <v>3</v>
      </c>
      <c r="K60" s="4">
        <v>82</v>
      </c>
      <c r="L60" s="3" t="s">
        <v>4</v>
      </c>
      <c r="M60" s="4">
        <v>71.430000000000007</v>
      </c>
      <c r="N60" s="4" t="str">
        <f t="shared" si="0"/>
        <v>First Class</v>
      </c>
      <c r="O60" s="6" t="s">
        <v>5</v>
      </c>
      <c r="P60" s="6" t="str">
        <f>IF(AND(Table2[[#This Row],[Workex]]="Yes",Table2[[#This Row],[Degree_P]]&gt;70%),"High Priority", "Standard")</f>
        <v>Standard</v>
      </c>
      <c r="Q60" s="9">
        <v>252000</v>
      </c>
      <c r="R60" s="17">
        <f>IF(Table2[[#This Row],[Etest_P]]&gt;90,Table2[[#This Row],[Adjusted Salary ]]+(Table2[[#This Row],[Adjusted Salary ]]*5%),Table2[[#This Row],[Adjusted Salary ]])</f>
        <v>252000</v>
      </c>
    </row>
    <row r="61" spans="1:18">
      <c r="A61" s="3">
        <v>129</v>
      </c>
      <c r="B61" s="3" t="s">
        <v>29</v>
      </c>
      <c r="C61" s="4">
        <v>80.400000000000006</v>
      </c>
      <c r="D61" s="3" t="s">
        <v>6</v>
      </c>
      <c r="E61" s="5">
        <v>73.400000000000006</v>
      </c>
      <c r="F61" s="3" t="s">
        <v>6</v>
      </c>
      <c r="G61" s="3" t="s">
        <v>7</v>
      </c>
      <c r="H61" s="4">
        <v>77.72</v>
      </c>
      <c r="I61" s="3" t="s">
        <v>2</v>
      </c>
      <c r="J61" s="3" t="s">
        <v>8</v>
      </c>
      <c r="K61" s="4">
        <v>81.2</v>
      </c>
      <c r="L61" s="3" t="s">
        <v>4</v>
      </c>
      <c r="M61" s="4">
        <v>76.260000000000005</v>
      </c>
      <c r="N61" s="4" t="str">
        <f t="shared" si="0"/>
        <v>Distinction</v>
      </c>
      <c r="O61" s="6" t="s">
        <v>5</v>
      </c>
      <c r="P61" s="6" t="str">
        <f>IF(AND(Table2[[#This Row],[Workex]]="Yes",Table2[[#This Row],[Degree_P]]&gt;70%),"High Priority", "Standard")</f>
        <v>High Priority</v>
      </c>
      <c r="Q61" s="9">
        <v>400000</v>
      </c>
      <c r="R61" s="17">
        <f>IF(Table2[[#This Row],[Etest_P]]&gt;90,Table2[[#This Row],[Adjusted Salary ]]+(Table2[[#This Row],[Adjusted Salary ]]*5%),Table2[[#This Row],[Adjusted Salary ]])</f>
        <v>400000</v>
      </c>
    </row>
    <row r="62" spans="1:18">
      <c r="A62" s="3">
        <v>123</v>
      </c>
      <c r="B62" s="3" t="s">
        <v>30</v>
      </c>
      <c r="C62" s="4">
        <v>66.5</v>
      </c>
      <c r="D62" s="3" t="s">
        <v>6</v>
      </c>
      <c r="E62" s="5">
        <v>66.8</v>
      </c>
      <c r="F62" s="3" t="s">
        <v>6</v>
      </c>
      <c r="G62" s="3" t="s">
        <v>10</v>
      </c>
      <c r="H62" s="4">
        <v>69.3</v>
      </c>
      <c r="I62" s="3" t="s">
        <v>11</v>
      </c>
      <c r="J62" s="3" t="s">
        <v>8</v>
      </c>
      <c r="K62" s="4">
        <v>80.400000000000006</v>
      </c>
      <c r="L62" s="3" t="s">
        <v>9</v>
      </c>
      <c r="M62" s="4">
        <v>71</v>
      </c>
      <c r="N62" s="4" t="str">
        <f t="shared" si="0"/>
        <v>First Class</v>
      </c>
      <c r="O62" s="6" t="s">
        <v>5</v>
      </c>
      <c r="P62" s="6" t="str">
        <f>IF(AND(Table2[[#This Row],[Workex]]="Yes",Table2[[#This Row],[Degree_P]]&gt;70%),"High Priority", "Standard")</f>
        <v>High Priority</v>
      </c>
      <c r="Q62" s="9">
        <v>236000</v>
      </c>
      <c r="R62" s="17">
        <f>IF(Table2[[#This Row],[Etest_P]]&gt;90,Table2[[#This Row],[Adjusted Salary ]]+(Table2[[#This Row],[Adjusted Salary ]]*5%),Table2[[#This Row],[Adjusted Salary ]])</f>
        <v>236000</v>
      </c>
    </row>
    <row r="63" spans="1:18">
      <c r="A63" s="3">
        <v>58</v>
      </c>
      <c r="B63" s="3" t="s">
        <v>29</v>
      </c>
      <c r="C63" s="4">
        <v>68</v>
      </c>
      <c r="D63" s="3" t="s">
        <v>6</v>
      </c>
      <c r="E63" s="5">
        <v>76</v>
      </c>
      <c r="F63" s="3" t="s">
        <v>6</v>
      </c>
      <c r="G63" s="3" t="s">
        <v>1</v>
      </c>
      <c r="H63" s="4">
        <v>74</v>
      </c>
      <c r="I63" s="3" t="s">
        <v>11</v>
      </c>
      <c r="J63" s="3" t="s">
        <v>3</v>
      </c>
      <c r="K63" s="4">
        <v>80</v>
      </c>
      <c r="L63" s="3" t="s">
        <v>9</v>
      </c>
      <c r="M63" s="4">
        <v>63.59</v>
      </c>
      <c r="N63" s="4" t="str">
        <f t="shared" si="0"/>
        <v>First Class</v>
      </c>
      <c r="O63" s="6" t="s">
        <v>5</v>
      </c>
      <c r="P63" s="6" t="str">
        <f>IF(AND(Table2[[#This Row],[Workex]]="Yes",Table2[[#This Row],[Degree_P]]&gt;70%),"High Priority", "Standard")</f>
        <v>Standard</v>
      </c>
      <c r="Q63" s="9">
        <v>360000</v>
      </c>
      <c r="R63" s="17">
        <f>IF(Table2[[#This Row],[Etest_P]]&gt;90,Table2[[#This Row],[Adjusted Salary ]]+(Table2[[#This Row],[Adjusted Salary ]]*5%),Table2[[#This Row],[Adjusted Salary ]])</f>
        <v>360000</v>
      </c>
    </row>
    <row r="64" spans="1:18">
      <c r="A64" s="3">
        <v>108</v>
      </c>
      <c r="B64" s="3" t="s">
        <v>29</v>
      </c>
      <c r="C64" s="4">
        <v>82</v>
      </c>
      <c r="D64" s="3" t="s">
        <v>0</v>
      </c>
      <c r="E64" s="5">
        <v>90</v>
      </c>
      <c r="F64" s="3" t="s">
        <v>0</v>
      </c>
      <c r="G64" s="3" t="s">
        <v>1</v>
      </c>
      <c r="H64" s="4">
        <v>83</v>
      </c>
      <c r="I64" s="3" t="s">
        <v>11</v>
      </c>
      <c r="J64" s="3" t="s">
        <v>3</v>
      </c>
      <c r="K64" s="4">
        <v>80</v>
      </c>
      <c r="L64" s="3" t="s">
        <v>4</v>
      </c>
      <c r="M64" s="4">
        <v>73.52</v>
      </c>
      <c r="N64" s="4" t="str">
        <f t="shared" si="0"/>
        <v>First Class</v>
      </c>
      <c r="O64" s="6" t="s">
        <v>5</v>
      </c>
      <c r="P64" s="6" t="str">
        <f>IF(AND(Table2[[#This Row],[Workex]]="Yes",Table2[[#This Row],[Degree_P]]&gt;70%),"High Priority", "Standard")</f>
        <v>Standard</v>
      </c>
      <c r="Q64" s="9">
        <v>200000</v>
      </c>
      <c r="R64" s="17">
        <f>IF(Table2[[#This Row],[Etest_P]]&gt;90,Table2[[#This Row],[Adjusted Salary ]]+(Table2[[#This Row],[Adjusted Salary ]]*5%),Table2[[#This Row],[Adjusted Salary ]])</f>
        <v>200000</v>
      </c>
    </row>
    <row r="65" spans="1:18">
      <c r="A65" s="6">
        <v>118</v>
      </c>
      <c r="B65" s="6" t="s">
        <v>29</v>
      </c>
      <c r="C65" s="7">
        <v>77</v>
      </c>
      <c r="D65" s="6" t="s">
        <v>0</v>
      </c>
      <c r="E65" s="8">
        <v>75</v>
      </c>
      <c r="F65" s="6" t="s">
        <v>0</v>
      </c>
      <c r="G65" s="6" t="s">
        <v>7</v>
      </c>
      <c r="H65" s="7">
        <v>73</v>
      </c>
      <c r="I65" s="6" t="s">
        <v>2</v>
      </c>
      <c r="J65" s="6" t="s">
        <v>3</v>
      </c>
      <c r="K65" s="7">
        <v>80</v>
      </c>
      <c r="L65" s="6" t="s">
        <v>9</v>
      </c>
      <c r="M65" s="7">
        <v>67.05</v>
      </c>
      <c r="N65" s="7" t="str">
        <f t="shared" si="0"/>
        <v>First Class</v>
      </c>
      <c r="O65" s="6" t="s">
        <v>5</v>
      </c>
      <c r="P65" s="6" t="str">
        <f>IF(AND(Table2[[#This Row],[Workex]]="Yes",Table2[[#This Row],[Degree_P]]&gt;70%),"High Priority", "Standard")</f>
        <v>Standard</v>
      </c>
      <c r="Q65" s="10">
        <v>240000</v>
      </c>
      <c r="R65" s="17">
        <f>IF(Table2[[#This Row],[Etest_P]]&gt;90,Table2[[#This Row],[Adjusted Salary ]]+(Table2[[#This Row],[Adjusted Salary ]]*5%),Table2[[#This Row],[Adjusted Salary ]])</f>
        <v>240000</v>
      </c>
    </row>
    <row r="66" spans="1:18">
      <c r="A66" s="6">
        <v>132</v>
      </c>
      <c r="B66" s="6" t="s">
        <v>30</v>
      </c>
      <c r="C66" s="7">
        <v>74.900000000000006</v>
      </c>
      <c r="D66" s="6" t="s">
        <v>0</v>
      </c>
      <c r="E66" s="8">
        <v>57</v>
      </c>
      <c r="F66" s="6" t="s">
        <v>0</v>
      </c>
      <c r="G66" s="6" t="s">
        <v>7</v>
      </c>
      <c r="H66" s="7">
        <v>62</v>
      </c>
      <c r="I66" s="6" t="s">
        <v>0</v>
      </c>
      <c r="J66" s="6" t="s">
        <v>8</v>
      </c>
      <c r="K66" s="7">
        <v>80</v>
      </c>
      <c r="L66" s="6" t="s">
        <v>9</v>
      </c>
      <c r="M66" s="7">
        <v>60.78</v>
      </c>
      <c r="N66" s="7" t="str">
        <f t="shared" ref="N66:N129" si="1">IF(M66&gt;75,"Distinction",IF(M66&gt;60,"First Class","Pass"))</f>
        <v>First Class</v>
      </c>
      <c r="O66" s="6" t="s">
        <v>5</v>
      </c>
      <c r="P66" s="6" t="str">
        <f>IF(AND(Table2[[#This Row],[Workex]]="Yes",Table2[[#This Row],[Degree_P]]&gt;70%),"High Priority", "Standard")</f>
        <v>High Priority</v>
      </c>
      <c r="Q66" s="10">
        <v>360000</v>
      </c>
      <c r="R66" s="17">
        <f>IF(Table2[[#This Row],[Etest_P]]&gt;90,Table2[[#This Row],[Adjusted Salary ]]+(Table2[[#This Row],[Adjusted Salary ]]*5%),Table2[[#This Row],[Adjusted Salary ]])</f>
        <v>360000</v>
      </c>
    </row>
    <row r="67" spans="1:18">
      <c r="A67" s="3">
        <v>157</v>
      </c>
      <c r="B67" s="3" t="s">
        <v>29</v>
      </c>
      <c r="C67" s="4">
        <v>84.2</v>
      </c>
      <c r="D67" s="3" t="s">
        <v>6</v>
      </c>
      <c r="E67" s="5">
        <v>69.400000000000006</v>
      </c>
      <c r="F67" s="3" t="s">
        <v>6</v>
      </c>
      <c r="G67" s="3" t="s">
        <v>7</v>
      </c>
      <c r="H67" s="4">
        <v>65</v>
      </c>
      <c r="I67" s="3" t="s">
        <v>2</v>
      </c>
      <c r="J67" s="3" t="s">
        <v>8</v>
      </c>
      <c r="K67" s="4">
        <v>80</v>
      </c>
      <c r="L67" s="3" t="s">
        <v>4</v>
      </c>
      <c r="M67" s="4">
        <v>52.72</v>
      </c>
      <c r="N67" s="4" t="str">
        <f t="shared" si="1"/>
        <v>Pass</v>
      </c>
      <c r="O67" s="6" t="s">
        <v>5</v>
      </c>
      <c r="P67" s="6" t="str">
        <f>IF(AND(Table2[[#This Row],[Workex]]="Yes",Table2[[#This Row],[Degree_P]]&gt;70%),"High Priority", "Standard")</f>
        <v>High Priority</v>
      </c>
      <c r="Q67" s="9">
        <v>255000</v>
      </c>
      <c r="R67" s="17">
        <f>IF(Table2[[#This Row],[Etest_P]]&gt;90,Table2[[#This Row],[Adjusted Salary ]]+(Table2[[#This Row],[Adjusted Salary ]]*5%),Table2[[#This Row],[Adjusted Salary ]])</f>
        <v>255000</v>
      </c>
    </row>
    <row r="68" spans="1:18">
      <c r="A68" s="6">
        <v>166</v>
      </c>
      <c r="B68" s="6" t="s">
        <v>30</v>
      </c>
      <c r="C68" s="7">
        <v>63.3</v>
      </c>
      <c r="D68" s="6" t="s">
        <v>6</v>
      </c>
      <c r="E68" s="8">
        <v>78.33</v>
      </c>
      <c r="F68" s="6" t="s">
        <v>0</v>
      </c>
      <c r="G68" s="6" t="s">
        <v>1</v>
      </c>
      <c r="H68" s="7">
        <v>74</v>
      </c>
      <c r="I68" s="6" t="s">
        <v>11</v>
      </c>
      <c r="J68" s="6" t="s">
        <v>3</v>
      </c>
      <c r="K68" s="7">
        <v>80</v>
      </c>
      <c r="L68" s="6" t="s">
        <v>9</v>
      </c>
      <c r="M68" s="7">
        <v>74.56</v>
      </c>
      <c r="N68" s="7" t="str">
        <f t="shared" si="1"/>
        <v>First Class</v>
      </c>
      <c r="O68" s="6" t="s">
        <v>12</v>
      </c>
      <c r="P68" s="6" t="str">
        <f>IF(AND(Table2[[#This Row],[Workex]]="Yes",Table2[[#This Row],[Degree_P]]&gt;70%),"High Priority", "Standard")</f>
        <v>Standard</v>
      </c>
      <c r="Q68" s="10">
        <v>0</v>
      </c>
      <c r="R68" s="17">
        <f>IF(Table2[[#This Row],[Etest_P]]&gt;90,Table2[[#This Row],[Adjusted Salary ]]+(Table2[[#This Row],[Adjusted Salary ]]*5%),Table2[[#This Row],[Adjusted Salary ]])</f>
        <v>0</v>
      </c>
    </row>
    <row r="69" spans="1:18">
      <c r="A69" s="6">
        <v>194</v>
      </c>
      <c r="B69" s="6" t="s">
        <v>30</v>
      </c>
      <c r="C69" s="7">
        <v>60</v>
      </c>
      <c r="D69" s="6" t="s">
        <v>6</v>
      </c>
      <c r="E69" s="8">
        <v>63</v>
      </c>
      <c r="F69" s="6" t="s">
        <v>6</v>
      </c>
      <c r="G69" s="6" t="s">
        <v>10</v>
      </c>
      <c r="H69" s="7">
        <v>56</v>
      </c>
      <c r="I69" s="6" t="s">
        <v>0</v>
      </c>
      <c r="J69" s="6" t="s">
        <v>8</v>
      </c>
      <c r="K69" s="7">
        <v>80</v>
      </c>
      <c r="L69" s="6" t="s">
        <v>4</v>
      </c>
      <c r="M69" s="7">
        <v>56.63</v>
      </c>
      <c r="N69" s="7" t="str">
        <f t="shared" si="1"/>
        <v>Pass</v>
      </c>
      <c r="O69" s="6" t="s">
        <v>5</v>
      </c>
      <c r="P69" s="6" t="str">
        <f>IF(AND(Table2[[#This Row],[Workex]]="Yes",Table2[[#This Row],[Degree_P]]&gt;70%),"High Priority", "Standard")</f>
        <v>High Priority</v>
      </c>
      <c r="Q69" s="10">
        <v>300000</v>
      </c>
      <c r="R69" s="17">
        <f>IF(Table2[[#This Row],[Etest_P]]&gt;90,Table2[[#This Row],[Adjusted Salary ]]+(Table2[[#This Row],[Adjusted Salary ]]*5%),Table2[[#This Row],[Adjusted Salary ]])</f>
        <v>300000</v>
      </c>
    </row>
    <row r="70" spans="1:18">
      <c r="A70" s="6">
        <v>205</v>
      </c>
      <c r="B70" s="6" t="s">
        <v>30</v>
      </c>
      <c r="C70" s="7">
        <v>74</v>
      </c>
      <c r="D70" s="6" t="s">
        <v>0</v>
      </c>
      <c r="E70" s="8">
        <v>73</v>
      </c>
      <c r="F70" s="6" t="s">
        <v>0</v>
      </c>
      <c r="G70" s="6" t="s">
        <v>1</v>
      </c>
      <c r="H70" s="7">
        <v>73</v>
      </c>
      <c r="I70" s="6" t="s">
        <v>11</v>
      </c>
      <c r="J70" s="6" t="s">
        <v>8</v>
      </c>
      <c r="K70" s="7">
        <v>80</v>
      </c>
      <c r="L70" s="6" t="s">
        <v>9</v>
      </c>
      <c r="M70" s="7">
        <v>67.69</v>
      </c>
      <c r="N70" s="7" t="str">
        <f t="shared" si="1"/>
        <v>First Class</v>
      </c>
      <c r="O70" s="6" t="s">
        <v>5</v>
      </c>
      <c r="P70" s="6" t="str">
        <f>IF(AND(Table2[[#This Row],[Workex]]="Yes",Table2[[#This Row],[Degree_P]]&gt;70%),"High Priority", "Standard")</f>
        <v>High Priority</v>
      </c>
      <c r="Q70" s="10">
        <v>210000</v>
      </c>
      <c r="R70" s="17">
        <f>IF(Table2[[#This Row],[Etest_P]]&gt;90,Table2[[#This Row],[Adjusted Salary ]]+(Table2[[#This Row],[Adjusted Salary ]]*5%),Table2[[#This Row],[Adjusted Salary ]])</f>
        <v>210000</v>
      </c>
    </row>
    <row r="71" spans="1:18">
      <c r="A71" s="3">
        <v>69</v>
      </c>
      <c r="B71" s="3" t="s">
        <v>30</v>
      </c>
      <c r="C71" s="4">
        <v>69.7</v>
      </c>
      <c r="D71" s="3" t="s">
        <v>6</v>
      </c>
      <c r="E71" s="5">
        <v>47</v>
      </c>
      <c r="F71" s="3" t="s">
        <v>6</v>
      </c>
      <c r="G71" s="3" t="s">
        <v>1</v>
      </c>
      <c r="H71" s="4">
        <v>72.7</v>
      </c>
      <c r="I71" s="3" t="s">
        <v>2</v>
      </c>
      <c r="J71" s="3" t="s">
        <v>3</v>
      </c>
      <c r="K71" s="4">
        <v>79</v>
      </c>
      <c r="L71" s="3" t="s">
        <v>4</v>
      </c>
      <c r="M71" s="4">
        <v>59.24</v>
      </c>
      <c r="N71" s="4" t="str">
        <f t="shared" si="1"/>
        <v>Pass</v>
      </c>
      <c r="O71" s="6" t="s">
        <v>12</v>
      </c>
      <c r="P71" s="6" t="str">
        <f>IF(AND(Table2[[#This Row],[Workex]]="Yes",Table2[[#This Row],[Degree_P]]&gt;70%),"High Priority", "Standard")</f>
        <v>Standard</v>
      </c>
      <c r="Q71" s="9">
        <v>0</v>
      </c>
      <c r="R71" s="17">
        <f>IF(Table2[[#This Row],[Etest_P]]&gt;90,Table2[[#This Row],[Adjusted Salary ]]+(Table2[[#This Row],[Adjusted Salary ]]*5%),Table2[[#This Row],[Adjusted Salary ]])</f>
        <v>0</v>
      </c>
    </row>
    <row r="72" spans="1:18">
      <c r="A72" s="3">
        <v>202</v>
      </c>
      <c r="B72" s="3" t="s">
        <v>29</v>
      </c>
      <c r="C72" s="4">
        <v>54.2</v>
      </c>
      <c r="D72" s="3" t="s">
        <v>6</v>
      </c>
      <c r="E72" s="5">
        <v>63</v>
      </c>
      <c r="F72" s="3" t="s">
        <v>0</v>
      </c>
      <c r="G72" s="3" t="s">
        <v>7</v>
      </c>
      <c r="H72" s="4">
        <v>58</v>
      </c>
      <c r="I72" s="3" t="s">
        <v>11</v>
      </c>
      <c r="J72" s="3" t="s">
        <v>3</v>
      </c>
      <c r="K72" s="4">
        <v>79</v>
      </c>
      <c r="L72" s="3" t="s">
        <v>4</v>
      </c>
      <c r="M72" s="4">
        <v>58.44</v>
      </c>
      <c r="N72" s="4" t="str">
        <f t="shared" si="1"/>
        <v>Pass</v>
      </c>
      <c r="O72" s="6" t="s">
        <v>12</v>
      </c>
      <c r="P72" s="6" t="str">
        <f>IF(AND(Table2[[#This Row],[Workex]]="Yes",Table2[[#This Row],[Degree_P]]&gt;70%),"High Priority", "Standard")</f>
        <v>Standard</v>
      </c>
      <c r="Q72" s="9">
        <v>0</v>
      </c>
      <c r="R72" s="17">
        <f>IF(Table2[[#This Row],[Etest_P]]&gt;90,Table2[[#This Row],[Adjusted Salary ]]+(Table2[[#This Row],[Adjusted Salary ]]*5%),Table2[[#This Row],[Adjusted Salary ]])</f>
        <v>0</v>
      </c>
    </row>
    <row r="73" spans="1:18">
      <c r="A73" s="6">
        <v>86</v>
      </c>
      <c r="B73" s="6" t="s">
        <v>30</v>
      </c>
      <c r="C73" s="7">
        <v>83.84</v>
      </c>
      <c r="D73" s="6" t="s">
        <v>0</v>
      </c>
      <c r="E73" s="8">
        <v>89.83</v>
      </c>
      <c r="F73" s="6" t="s">
        <v>0</v>
      </c>
      <c r="G73" s="6" t="s">
        <v>1</v>
      </c>
      <c r="H73" s="7">
        <v>77.2</v>
      </c>
      <c r="I73" s="6" t="s">
        <v>11</v>
      </c>
      <c r="J73" s="6" t="s">
        <v>8</v>
      </c>
      <c r="K73" s="7">
        <v>78.739999999999995</v>
      </c>
      <c r="L73" s="6" t="s">
        <v>9</v>
      </c>
      <c r="M73" s="7">
        <v>76.180000000000007</v>
      </c>
      <c r="N73" s="7" t="str">
        <f t="shared" si="1"/>
        <v>Distinction</v>
      </c>
      <c r="O73" s="6" t="s">
        <v>5</v>
      </c>
      <c r="P73" s="6" t="str">
        <f>IF(AND(Table2[[#This Row],[Workex]]="Yes",Table2[[#This Row],[Degree_P]]&gt;70%),"High Priority", "Standard")</f>
        <v>High Priority</v>
      </c>
      <c r="Q73" s="10">
        <v>400000</v>
      </c>
      <c r="R73" s="17">
        <f>IF(Table2[[#This Row],[Etest_P]]&gt;90,Table2[[#This Row],[Adjusted Salary ]]+(Table2[[#This Row],[Adjusted Salary ]]*5%),Table2[[#This Row],[Adjusted Salary ]])</f>
        <v>400000</v>
      </c>
    </row>
    <row r="74" spans="1:18">
      <c r="A74" s="6">
        <v>48</v>
      </c>
      <c r="B74" s="6" t="s">
        <v>29</v>
      </c>
      <c r="C74" s="7">
        <v>63</v>
      </c>
      <c r="D74" s="6" t="s">
        <v>6</v>
      </c>
      <c r="E74" s="8">
        <v>60</v>
      </c>
      <c r="F74" s="6" t="s">
        <v>6</v>
      </c>
      <c r="G74" s="6" t="s">
        <v>1</v>
      </c>
      <c r="H74" s="7">
        <v>57</v>
      </c>
      <c r="I74" s="6" t="s">
        <v>11</v>
      </c>
      <c r="J74" s="6" t="s">
        <v>8</v>
      </c>
      <c r="K74" s="7">
        <v>78</v>
      </c>
      <c r="L74" s="6" t="s">
        <v>9</v>
      </c>
      <c r="M74" s="7">
        <v>54.55</v>
      </c>
      <c r="N74" s="7" t="str">
        <f t="shared" si="1"/>
        <v>Pass</v>
      </c>
      <c r="O74" s="6" t="s">
        <v>5</v>
      </c>
      <c r="P74" s="6" t="str">
        <f>IF(AND(Table2[[#This Row],[Workex]]="Yes",Table2[[#This Row],[Degree_P]]&gt;70%),"High Priority", "Standard")</f>
        <v>High Priority</v>
      </c>
      <c r="Q74" s="10">
        <v>204000</v>
      </c>
      <c r="R74" s="17">
        <f>IF(Table2[[#This Row],[Etest_P]]&gt;90,Table2[[#This Row],[Adjusted Salary ]]+(Table2[[#This Row],[Adjusted Salary ]]*5%),Table2[[#This Row],[Adjusted Salary ]])</f>
        <v>204000</v>
      </c>
    </row>
    <row r="75" spans="1:18">
      <c r="A75" s="3">
        <v>55</v>
      </c>
      <c r="B75" s="3" t="s">
        <v>30</v>
      </c>
      <c r="C75" s="4">
        <v>74</v>
      </c>
      <c r="D75" s="3" t="s">
        <v>6</v>
      </c>
      <c r="E75" s="5">
        <v>60</v>
      </c>
      <c r="F75" s="3" t="s">
        <v>0</v>
      </c>
      <c r="G75" s="3" t="s">
        <v>7</v>
      </c>
      <c r="H75" s="4">
        <v>69</v>
      </c>
      <c r="I75" s="3" t="s">
        <v>11</v>
      </c>
      <c r="J75" s="3" t="s">
        <v>3</v>
      </c>
      <c r="K75" s="4">
        <v>78</v>
      </c>
      <c r="L75" s="3" t="s">
        <v>4</v>
      </c>
      <c r="M75" s="4">
        <v>65.56</v>
      </c>
      <c r="N75" s="4" t="str">
        <f t="shared" si="1"/>
        <v>First Class</v>
      </c>
      <c r="O75" s="6" t="s">
        <v>5</v>
      </c>
      <c r="P75" s="6" t="str">
        <f>IF(AND(Table2[[#This Row],[Workex]]="Yes",Table2[[#This Row],[Degree_P]]&gt;70%),"High Priority", "Standard")</f>
        <v>Standard</v>
      </c>
      <c r="Q75" s="9">
        <v>216000</v>
      </c>
      <c r="R75" s="17">
        <f>IF(Table2[[#This Row],[Etest_P]]&gt;90,Table2[[#This Row],[Adjusted Salary ]]+(Table2[[#This Row],[Adjusted Salary ]]*5%),Table2[[#This Row],[Adjusted Salary ]])</f>
        <v>216000</v>
      </c>
    </row>
    <row r="76" spans="1:18">
      <c r="A76" s="6">
        <v>102</v>
      </c>
      <c r="B76" s="6" t="s">
        <v>29</v>
      </c>
      <c r="C76" s="7">
        <v>63</v>
      </c>
      <c r="D76" s="6" t="s">
        <v>6</v>
      </c>
      <c r="E76" s="8">
        <v>72</v>
      </c>
      <c r="F76" s="6" t="s">
        <v>6</v>
      </c>
      <c r="G76" s="6" t="s">
        <v>1</v>
      </c>
      <c r="H76" s="7">
        <v>68</v>
      </c>
      <c r="I76" s="6" t="s">
        <v>11</v>
      </c>
      <c r="J76" s="6" t="s">
        <v>3</v>
      </c>
      <c r="K76" s="7">
        <v>78</v>
      </c>
      <c r="L76" s="6" t="s">
        <v>4</v>
      </c>
      <c r="M76" s="7">
        <v>60.44</v>
      </c>
      <c r="N76" s="7" t="str">
        <f t="shared" si="1"/>
        <v>First Class</v>
      </c>
      <c r="O76" s="6" t="s">
        <v>5</v>
      </c>
      <c r="P76" s="6" t="str">
        <f>IF(AND(Table2[[#This Row],[Workex]]="Yes",Table2[[#This Row],[Degree_P]]&gt;70%),"High Priority", "Standard")</f>
        <v>Standard</v>
      </c>
      <c r="Q76" s="10">
        <v>380000</v>
      </c>
      <c r="R76" s="17">
        <f>IF(Table2[[#This Row],[Etest_P]]&gt;90,Table2[[#This Row],[Adjusted Salary ]]+(Table2[[#This Row],[Adjusted Salary ]]*5%),Table2[[#This Row],[Adjusted Salary ]])</f>
        <v>380000</v>
      </c>
    </row>
    <row r="77" spans="1:18">
      <c r="A77" s="6">
        <v>137</v>
      </c>
      <c r="B77" s="6" t="s">
        <v>30</v>
      </c>
      <c r="C77" s="7">
        <v>47</v>
      </c>
      <c r="D77" s="6" t="s">
        <v>6</v>
      </c>
      <c r="E77" s="8">
        <v>59</v>
      </c>
      <c r="F77" s="6" t="s">
        <v>6</v>
      </c>
      <c r="G77" s="6" t="s">
        <v>10</v>
      </c>
      <c r="H77" s="7">
        <v>64</v>
      </c>
      <c r="I77" s="6" t="s">
        <v>11</v>
      </c>
      <c r="J77" s="6" t="s">
        <v>3</v>
      </c>
      <c r="K77" s="7">
        <v>78</v>
      </c>
      <c r="L77" s="6" t="s">
        <v>9</v>
      </c>
      <c r="M77" s="7">
        <v>61.58</v>
      </c>
      <c r="N77" s="7" t="str">
        <f t="shared" si="1"/>
        <v>First Class</v>
      </c>
      <c r="O77" s="6" t="s">
        <v>12</v>
      </c>
      <c r="P77" s="6" t="str">
        <f>IF(AND(Table2[[#This Row],[Workex]]="Yes",Table2[[#This Row],[Degree_P]]&gt;70%),"High Priority", "Standard")</f>
        <v>Standard</v>
      </c>
      <c r="Q77" s="10">
        <v>0</v>
      </c>
      <c r="R77" s="17">
        <f>IF(Table2[[#This Row],[Etest_P]]&gt;90,Table2[[#This Row],[Adjusted Salary ]]+(Table2[[#This Row],[Adjusted Salary ]]*5%),Table2[[#This Row],[Adjusted Salary ]])</f>
        <v>0</v>
      </c>
    </row>
    <row r="78" spans="1:18">
      <c r="A78" s="6">
        <v>197</v>
      </c>
      <c r="B78" s="6" t="s">
        <v>29</v>
      </c>
      <c r="C78" s="7">
        <v>72</v>
      </c>
      <c r="D78" s="6" t="s">
        <v>0</v>
      </c>
      <c r="E78" s="8">
        <v>63</v>
      </c>
      <c r="F78" s="6" t="s">
        <v>0</v>
      </c>
      <c r="G78" s="6" t="s">
        <v>7</v>
      </c>
      <c r="H78" s="7">
        <v>77.5</v>
      </c>
      <c r="I78" s="6" t="s">
        <v>2</v>
      </c>
      <c r="J78" s="6" t="s">
        <v>8</v>
      </c>
      <c r="K78" s="7">
        <v>78</v>
      </c>
      <c r="L78" s="6" t="s">
        <v>9</v>
      </c>
      <c r="M78" s="7">
        <v>54.48</v>
      </c>
      <c r="N78" s="7" t="str">
        <f t="shared" si="1"/>
        <v>Pass</v>
      </c>
      <c r="O78" s="6" t="s">
        <v>5</v>
      </c>
      <c r="P78" s="6" t="str">
        <f>IF(AND(Table2[[#This Row],[Workex]]="Yes",Table2[[#This Row],[Degree_P]]&gt;70%),"High Priority", "Standard")</f>
        <v>High Priority</v>
      </c>
      <c r="Q78" s="10">
        <v>250000</v>
      </c>
      <c r="R78" s="17">
        <f>IF(Table2[[#This Row],[Etest_P]]&gt;90,Table2[[#This Row],[Adjusted Salary ]]+(Table2[[#This Row],[Adjusted Salary ]]*5%),Table2[[#This Row],[Adjusted Salary ]])</f>
        <v>250000</v>
      </c>
    </row>
    <row r="79" spans="1:18">
      <c r="A79" s="6">
        <v>30</v>
      </c>
      <c r="B79" s="6" t="s">
        <v>29</v>
      </c>
      <c r="C79" s="7">
        <v>62</v>
      </c>
      <c r="D79" s="6" t="s">
        <v>6</v>
      </c>
      <c r="E79" s="8">
        <v>67</v>
      </c>
      <c r="F79" s="6" t="s">
        <v>6</v>
      </c>
      <c r="G79" s="6" t="s">
        <v>1</v>
      </c>
      <c r="H79" s="7">
        <v>58</v>
      </c>
      <c r="I79" s="6" t="s">
        <v>11</v>
      </c>
      <c r="J79" s="6" t="s">
        <v>3</v>
      </c>
      <c r="K79" s="7">
        <v>77</v>
      </c>
      <c r="L79" s="6" t="s">
        <v>9</v>
      </c>
      <c r="M79" s="7">
        <v>51.29</v>
      </c>
      <c r="N79" s="7" t="str">
        <f t="shared" si="1"/>
        <v>Pass</v>
      </c>
      <c r="O79" s="6" t="s">
        <v>12</v>
      </c>
      <c r="P79" s="6" t="str">
        <f>IF(AND(Table2[[#This Row],[Workex]]="Yes",Table2[[#This Row],[Degree_P]]&gt;70%),"High Priority", "Standard")</f>
        <v>Standard</v>
      </c>
      <c r="Q79" s="10">
        <v>0</v>
      </c>
      <c r="R79" s="17">
        <f>IF(Table2[[#This Row],[Etest_P]]&gt;90,Table2[[#This Row],[Adjusted Salary ]]+(Table2[[#This Row],[Adjusted Salary ]]*5%),Table2[[#This Row],[Adjusted Salary ]])</f>
        <v>0</v>
      </c>
    </row>
    <row r="80" spans="1:18">
      <c r="A80" s="6">
        <v>15</v>
      </c>
      <c r="B80" s="6" t="s">
        <v>29</v>
      </c>
      <c r="C80" s="7">
        <v>62</v>
      </c>
      <c r="D80" s="6" t="s">
        <v>6</v>
      </c>
      <c r="E80" s="8">
        <v>47</v>
      </c>
      <c r="F80" s="6" t="s">
        <v>6</v>
      </c>
      <c r="G80" s="6" t="s">
        <v>1</v>
      </c>
      <c r="H80" s="7">
        <v>50</v>
      </c>
      <c r="I80" s="6" t="s">
        <v>11</v>
      </c>
      <c r="J80" s="6" t="s">
        <v>3</v>
      </c>
      <c r="K80" s="7">
        <v>76</v>
      </c>
      <c r="L80" s="6" t="s">
        <v>4</v>
      </c>
      <c r="M80" s="7">
        <v>54.96</v>
      </c>
      <c r="N80" s="7" t="str">
        <f t="shared" si="1"/>
        <v>Pass</v>
      </c>
      <c r="O80" s="6" t="s">
        <v>12</v>
      </c>
      <c r="P80" s="6" t="str">
        <f>IF(AND(Table2[[#This Row],[Workex]]="Yes",Table2[[#This Row],[Degree_P]]&gt;70%),"High Priority", "Standard")</f>
        <v>Standard</v>
      </c>
      <c r="Q80" s="10">
        <v>0</v>
      </c>
      <c r="R80" s="17">
        <f>IF(Table2[[#This Row],[Etest_P]]&gt;90,Table2[[#This Row],[Adjusted Salary ]]+(Table2[[#This Row],[Adjusted Salary ]]*5%),Table2[[#This Row],[Adjusted Salary ]])</f>
        <v>0</v>
      </c>
    </row>
    <row r="81" spans="1:18">
      <c r="A81" s="3">
        <v>26</v>
      </c>
      <c r="B81" s="3" t="s">
        <v>30</v>
      </c>
      <c r="C81" s="4">
        <v>52.58</v>
      </c>
      <c r="D81" s="3" t="s">
        <v>0</v>
      </c>
      <c r="E81" s="5">
        <v>54.6</v>
      </c>
      <c r="F81" s="3" t="s">
        <v>6</v>
      </c>
      <c r="G81" s="3" t="s">
        <v>1</v>
      </c>
      <c r="H81" s="4">
        <v>50.2</v>
      </c>
      <c r="I81" s="3" t="s">
        <v>11</v>
      </c>
      <c r="J81" s="3" t="s">
        <v>8</v>
      </c>
      <c r="K81" s="4">
        <v>76</v>
      </c>
      <c r="L81" s="3" t="s">
        <v>9</v>
      </c>
      <c r="M81" s="4">
        <v>65.33</v>
      </c>
      <c r="N81" s="4" t="str">
        <f t="shared" si="1"/>
        <v>First Class</v>
      </c>
      <c r="O81" s="6" t="s">
        <v>12</v>
      </c>
      <c r="P81" s="6" t="str">
        <f>IF(AND(Table2[[#This Row],[Workex]]="Yes",Table2[[#This Row],[Degree_P]]&gt;70%),"High Priority", "Standard")</f>
        <v>High Priority</v>
      </c>
      <c r="Q81" s="9">
        <v>0</v>
      </c>
      <c r="R81" s="17">
        <f>IF(Table2[[#This Row],[Etest_P]]&gt;90,Table2[[#This Row],[Adjusted Salary ]]+(Table2[[#This Row],[Adjusted Salary ]]*5%),Table2[[#This Row],[Adjusted Salary ]])</f>
        <v>0</v>
      </c>
    </row>
    <row r="82" spans="1:18">
      <c r="A82" s="3">
        <v>180</v>
      </c>
      <c r="B82" s="3" t="s">
        <v>30</v>
      </c>
      <c r="C82" s="4">
        <v>77.8</v>
      </c>
      <c r="D82" s="3" t="s">
        <v>6</v>
      </c>
      <c r="E82" s="5">
        <v>64</v>
      </c>
      <c r="F82" s="3" t="s">
        <v>6</v>
      </c>
      <c r="G82" s="3" t="s">
        <v>7</v>
      </c>
      <c r="H82" s="4">
        <v>64.2</v>
      </c>
      <c r="I82" s="3" t="s">
        <v>2</v>
      </c>
      <c r="J82" s="3" t="s">
        <v>3</v>
      </c>
      <c r="K82" s="4">
        <v>75.5</v>
      </c>
      <c r="L82" s="3" t="s">
        <v>4</v>
      </c>
      <c r="M82" s="4">
        <v>72.14</v>
      </c>
      <c r="N82" s="4" t="str">
        <f t="shared" si="1"/>
        <v>First Class</v>
      </c>
      <c r="O82" s="6" t="s">
        <v>12</v>
      </c>
      <c r="P82" s="6" t="str">
        <f>IF(AND(Table2[[#This Row],[Workex]]="Yes",Table2[[#This Row],[Degree_P]]&gt;70%),"High Priority", "Standard")</f>
        <v>Standard</v>
      </c>
      <c r="Q82" s="9">
        <v>0</v>
      </c>
      <c r="R82" s="17">
        <f>IF(Table2[[#This Row],[Etest_P]]&gt;90,Table2[[#This Row],[Adjusted Salary ]]+(Table2[[#This Row],[Adjusted Salary ]]*5%),Table2[[#This Row],[Adjusted Salary ]])</f>
        <v>0</v>
      </c>
    </row>
    <row r="83" spans="1:18">
      <c r="A83" s="6">
        <v>163</v>
      </c>
      <c r="B83" s="6" t="s">
        <v>29</v>
      </c>
      <c r="C83" s="7">
        <v>74.2</v>
      </c>
      <c r="D83" s="6" t="s">
        <v>6</v>
      </c>
      <c r="E83" s="8">
        <v>87.6</v>
      </c>
      <c r="F83" s="6" t="s">
        <v>0</v>
      </c>
      <c r="G83" s="6" t="s">
        <v>1</v>
      </c>
      <c r="H83" s="7">
        <v>77.25</v>
      </c>
      <c r="I83" s="6" t="s">
        <v>11</v>
      </c>
      <c r="J83" s="6" t="s">
        <v>8</v>
      </c>
      <c r="K83" s="7">
        <v>75.2</v>
      </c>
      <c r="L83" s="6" t="s">
        <v>9</v>
      </c>
      <c r="M83" s="7">
        <v>66.06</v>
      </c>
      <c r="N83" s="7" t="str">
        <f t="shared" si="1"/>
        <v>First Class</v>
      </c>
      <c r="O83" s="6" t="s">
        <v>5</v>
      </c>
      <c r="P83" s="6" t="str">
        <f>IF(AND(Table2[[#This Row],[Workex]]="Yes",Table2[[#This Row],[Degree_P]]&gt;70%),"High Priority", "Standard")</f>
        <v>High Priority</v>
      </c>
      <c r="Q83" s="10">
        <v>285000</v>
      </c>
      <c r="R83" s="17">
        <f>IF(Table2[[#This Row],[Etest_P]]&gt;90,Table2[[#This Row],[Adjusted Salary ]]+(Table2[[#This Row],[Adjusted Salary ]]*5%),Table2[[#This Row],[Adjusted Salary ]])</f>
        <v>285000</v>
      </c>
    </row>
    <row r="84" spans="1:18">
      <c r="A84" s="3">
        <v>3</v>
      </c>
      <c r="B84" s="3" t="s">
        <v>29</v>
      </c>
      <c r="C84" s="4">
        <v>65</v>
      </c>
      <c r="D84" s="3" t="s">
        <v>6</v>
      </c>
      <c r="E84" s="5">
        <v>68</v>
      </c>
      <c r="F84" s="3" t="s">
        <v>6</v>
      </c>
      <c r="G84" s="3" t="s">
        <v>10</v>
      </c>
      <c r="H84" s="4">
        <v>64</v>
      </c>
      <c r="I84" s="3" t="s">
        <v>11</v>
      </c>
      <c r="J84" s="3" t="s">
        <v>3</v>
      </c>
      <c r="K84" s="4">
        <v>75</v>
      </c>
      <c r="L84" s="3" t="s">
        <v>9</v>
      </c>
      <c r="M84" s="4">
        <v>57.8</v>
      </c>
      <c r="N84" s="4" t="str">
        <f t="shared" si="1"/>
        <v>Pass</v>
      </c>
      <c r="O84" s="6" t="s">
        <v>5</v>
      </c>
      <c r="P84" s="6" t="str">
        <f>IF(AND(Table2[[#This Row],[Workex]]="Yes",Table2[[#This Row],[Degree_P]]&gt;70%),"High Priority", "Standard")</f>
        <v>Standard</v>
      </c>
      <c r="Q84" s="9">
        <v>250000</v>
      </c>
      <c r="R84" s="17">
        <f>IF(Table2[[#This Row],[Etest_P]]&gt;90,Table2[[#This Row],[Adjusted Salary ]]+(Table2[[#This Row],[Adjusted Salary ]]*5%),Table2[[#This Row],[Adjusted Salary ]])</f>
        <v>250000</v>
      </c>
    </row>
    <row r="85" spans="1:18">
      <c r="A85" s="6">
        <v>80</v>
      </c>
      <c r="B85" s="6" t="s">
        <v>30</v>
      </c>
      <c r="C85" s="7">
        <v>69</v>
      </c>
      <c r="D85" s="6" t="s">
        <v>6</v>
      </c>
      <c r="E85" s="8">
        <v>62</v>
      </c>
      <c r="F85" s="6" t="s">
        <v>6</v>
      </c>
      <c r="G85" s="6" t="s">
        <v>7</v>
      </c>
      <c r="H85" s="7">
        <v>66</v>
      </c>
      <c r="I85" s="6" t="s">
        <v>2</v>
      </c>
      <c r="J85" s="6" t="s">
        <v>3</v>
      </c>
      <c r="K85" s="7">
        <v>75</v>
      </c>
      <c r="L85" s="6" t="s">
        <v>4</v>
      </c>
      <c r="M85" s="7">
        <v>67.989999999999995</v>
      </c>
      <c r="N85" s="7" t="str">
        <f t="shared" si="1"/>
        <v>First Class</v>
      </c>
      <c r="O85" s="6" t="s">
        <v>12</v>
      </c>
      <c r="P85" s="6" t="str">
        <f>IF(AND(Table2[[#This Row],[Workex]]="Yes",Table2[[#This Row],[Degree_P]]&gt;70%),"High Priority", "Standard")</f>
        <v>Standard</v>
      </c>
      <c r="Q85" s="10">
        <v>0</v>
      </c>
      <c r="R85" s="17">
        <f>IF(Table2[[#This Row],[Etest_P]]&gt;90,Table2[[#This Row],[Adjusted Salary ]]+(Table2[[#This Row],[Adjusted Salary ]]*5%),Table2[[#This Row],[Adjusted Salary ]])</f>
        <v>0</v>
      </c>
    </row>
    <row r="86" spans="1:18">
      <c r="A86" s="6">
        <v>88</v>
      </c>
      <c r="B86" s="6" t="s">
        <v>29</v>
      </c>
      <c r="C86" s="7">
        <v>59.6</v>
      </c>
      <c r="D86" s="6" t="s">
        <v>6</v>
      </c>
      <c r="E86" s="8">
        <v>51</v>
      </c>
      <c r="F86" s="6" t="s">
        <v>6</v>
      </c>
      <c r="G86" s="6" t="s">
        <v>7</v>
      </c>
      <c r="H86" s="7">
        <v>60</v>
      </c>
      <c r="I86" s="6" t="s">
        <v>0</v>
      </c>
      <c r="J86" s="6" t="s">
        <v>3</v>
      </c>
      <c r="K86" s="7">
        <v>75</v>
      </c>
      <c r="L86" s="6" t="s">
        <v>4</v>
      </c>
      <c r="M86" s="7">
        <v>59.08</v>
      </c>
      <c r="N86" s="7" t="str">
        <f t="shared" si="1"/>
        <v>Pass</v>
      </c>
      <c r="O86" s="6" t="s">
        <v>12</v>
      </c>
      <c r="P86" s="6" t="str">
        <f>IF(AND(Table2[[#This Row],[Workex]]="Yes",Table2[[#This Row],[Degree_P]]&gt;70%),"High Priority", "Standard")</f>
        <v>Standard</v>
      </c>
      <c r="Q86" s="10">
        <v>0</v>
      </c>
      <c r="R86" s="17">
        <f>IF(Table2[[#This Row],[Etest_P]]&gt;90,Table2[[#This Row],[Adjusted Salary ]]+(Table2[[#This Row],[Adjusted Salary ]]*5%),Table2[[#This Row],[Adjusted Salary ]])</f>
        <v>0</v>
      </c>
    </row>
    <row r="87" spans="1:18">
      <c r="A87" s="3">
        <v>126</v>
      </c>
      <c r="B87" s="3" t="s">
        <v>30</v>
      </c>
      <c r="C87" s="4">
        <v>84</v>
      </c>
      <c r="D87" s="3" t="s">
        <v>6</v>
      </c>
      <c r="E87" s="5">
        <v>73</v>
      </c>
      <c r="F87" s="3" t="s">
        <v>6</v>
      </c>
      <c r="G87" s="3" t="s">
        <v>1</v>
      </c>
      <c r="H87" s="4">
        <v>73</v>
      </c>
      <c r="I87" s="3" t="s">
        <v>11</v>
      </c>
      <c r="J87" s="3" t="s">
        <v>3</v>
      </c>
      <c r="K87" s="4">
        <v>75</v>
      </c>
      <c r="L87" s="3" t="s">
        <v>9</v>
      </c>
      <c r="M87" s="4">
        <v>73.33</v>
      </c>
      <c r="N87" s="4" t="str">
        <f t="shared" si="1"/>
        <v>First Class</v>
      </c>
      <c r="O87" s="6" t="s">
        <v>5</v>
      </c>
      <c r="P87" s="6" t="str">
        <f>IF(AND(Table2[[#This Row],[Workex]]="Yes",Table2[[#This Row],[Degree_P]]&gt;70%),"High Priority", "Standard")</f>
        <v>Standard</v>
      </c>
      <c r="Q87" s="9">
        <v>350000</v>
      </c>
      <c r="R87" s="17">
        <f>IF(Table2[[#This Row],[Etest_P]]&gt;90,Table2[[#This Row],[Adjusted Salary ]]+(Table2[[#This Row],[Adjusted Salary ]]*5%),Table2[[#This Row],[Adjusted Salary ]])</f>
        <v>350000</v>
      </c>
    </row>
    <row r="88" spans="1:18">
      <c r="A88" s="3">
        <v>161</v>
      </c>
      <c r="B88" s="3" t="s">
        <v>29</v>
      </c>
      <c r="C88" s="4">
        <v>87</v>
      </c>
      <c r="D88" s="3" t="s">
        <v>6</v>
      </c>
      <c r="E88" s="5">
        <v>74</v>
      </c>
      <c r="F88" s="3" t="s">
        <v>6</v>
      </c>
      <c r="G88" s="3" t="s">
        <v>7</v>
      </c>
      <c r="H88" s="4">
        <v>65</v>
      </c>
      <c r="I88" s="3" t="s">
        <v>2</v>
      </c>
      <c r="J88" s="3" t="s">
        <v>8</v>
      </c>
      <c r="K88" s="4">
        <v>75</v>
      </c>
      <c r="L88" s="3" t="s">
        <v>4</v>
      </c>
      <c r="M88" s="4">
        <v>72.290000000000006</v>
      </c>
      <c r="N88" s="4" t="str">
        <f t="shared" si="1"/>
        <v>First Class</v>
      </c>
      <c r="O88" s="6" t="s">
        <v>5</v>
      </c>
      <c r="P88" s="6" t="str">
        <f>IF(AND(Table2[[#This Row],[Workex]]="Yes",Table2[[#This Row],[Degree_P]]&gt;70%),"High Priority", "Standard")</f>
        <v>High Priority</v>
      </c>
      <c r="Q88" s="9">
        <v>300000</v>
      </c>
      <c r="R88" s="17">
        <f>IF(Table2[[#This Row],[Etest_P]]&gt;90,Table2[[#This Row],[Adjusted Salary ]]+(Table2[[#This Row],[Adjusted Salary ]]*5%),Table2[[#This Row],[Adjusted Salary ]])</f>
        <v>300000</v>
      </c>
    </row>
    <row r="89" spans="1:18">
      <c r="A89" s="3">
        <v>164</v>
      </c>
      <c r="B89" s="3" t="s">
        <v>29</v>
      </c>
      <c r="C89" s="4">
        <v>63</v>
      </c>
      <c r="D89" s="3" t="s">
        <v>0</v>
      </c>
      <c r="E89" s="5">
        <v>67</v>
      </c>
      <c r="F89" s="3" t="s">
        <v>0</v>
      </c>
      <c r="G89" s="3" t="s">
        <v>7</v>
      </c>
      <c r="H89" s="4">
        <v>64</v>
      </c>
      <c r="I89" s="3" t="s">
        <v>2</v>
      </c>
      <c r="J89" s="3" t="s">
        <v>3</v>
      </c>
      <c r="K89" s="4">
        <v>75</v>
      </c>
      <c r="L89" s="3" t="s">
        <v>9</v>
      </c>
      <c r="M89" s="4">
        <v>66.459999999999994</v>
      </c>
      <c r="N89" s="4" t="str">
        <f t="shared" si="1"/>
        <v>First Class</v>
      </c>
      <c r="O89" s="6" t="s">
        <v>5</v>
      </c>
      <c r="P89" s="6" t="str">
        <f>IF(AND(Table2[[#This Row],[Workex]]="Yes",Table2[[#This Row],[Degree_P]]&gt;70%),"High Priority", "Standard")</f>
        <v>Standard</v>
      </c>
      <c r="Q89" s="9">
        <v>500000</v>
      </c>
      <c r="R89" s="17">
        <f>IF(Table2[[#This Row],[Etest_P]]&gt;90,Table2[[#This Row],[Adjusted Salary ]]+(Table2[[#This Row],[Adjusted Salary ]]*5%),Table2[[#This Row],[Adjusted Salary ]])</f>
        <v>500000</v>
      </c>
    </row>
    <row r="90" spans="1:18">
      <c r="A90" s="6">
        <v>183</v>
      </c>
      <c r="B90" s="6" t="s">
        <v>29</v>
      </c>
      <c r="C90" s="7">
        <v>52</v>
      </c>
      <c r="D90" s="6" t="s">
        <v>0</v>
      </c>
      <c r="E90" s="8">
        <v>65</v>
      </c>
      <c r="F90" s="6" t="s">
        <v>0</v>
      </c>
      <c r="G90" s="6" t="s">
        <v>10</v>
      </c>
      <c r="H90" s="7">
        <v>57</v>
      </c>
      <c r="I90" s="6" t="s">
        <v>0</v>
      </c>
      <c r="J90" s="6" t="s">
        <v>8</v>
      </c>
      <c r="K90" s="7">
        <v>75</v>
      </c>
      <c r="L90" s="6" t="s">
        <v>9</v>
      </c>
      <c r="M90" s="7">
        <v>59.81</v>
      </c>
      <c r="N90" s="7" t="str">
        <f t="shared" si="1"/>
        <v>Pass</v>
      </c>
      <c r="O90" s="6" t="s">
        <v>12</v>
      </c>
      <c r="P90" s="6" t="str">
        <f>IF(AND(Table2[[#This Row],[Workex]]="Yes",Table2[[#This Row],[Degree_P]]&gt;70%),"High Priority", "Standard")</f>
        <v>High Priority</v>
      </c>
      <c r="Q90" s="10">
        <v>0</v>
      </c>
      <c r="R90" s="17">
        <f>IF(Table2[[#This Row],[Etest_P]]&gt;90,Table2[[#This Row],[Adjusted Salary ]]+(Table2[[#This Row],[Adjusted Salary ]]*5%),Table2[[#This Row],[Adjusted Salary ]])</f>
        <v>0</v>
      </c>
    </row>
    <row r="91" spans="1:18">
      <c r="A91" s="6">
        <v>133</v>
      </c>
      <c r="B91" s="6" t="s">
        <v>29</v>
      </c>
      <c r="C91" s="7">
        <v>67</v>
      </c>
      <c r="D91" s="6" t="s">
        <v>0</v>
      </c>
      <c r="E91" s="8">
        <v>68</v>
      </c>
      <c r="F91" s="6" t="s">
        <v>0</v>
      </c>
      <c r="G91" s="6" t="s">
        <v>1</v>
      </c>
      <c r="H91" s="7">
        <v>64</v>
      </c>
      <c r="I91" s="6" t="s">
        <v>11</v>
      </c>
      <c r="J91" s="6" t="s">
        <v>8</v>
      </c>
      <c r="K91" s="7">
        <v>74.400000000000006</v>
      </c>
      <c r="L91" s="6" t="s">
        <v>4</v>
      </c>
      <c r="M91" s="7">
        <v>53.49</v>
      </c>
      <c r="N91" s="7" t="str">
        <f t="shared" si="1"/>
        <v>Pass</v>
      </c>
      <c r="O91" s="6" t="s">
        <v>5</v>
      </c>
      <c r="P91" s="6" t="str">
        <f>IF(AND(Table2[[#This Row],[Workex]]="Yes",Table2[[#This Row],[Degree_P]]&gt;70%),"High Priority", "Standard")</f>
        <v>High Priority</v>
      </c>
      <c r="Q91" s="10">
        <v>300000</v>
      </c>
      <c r="R91" s="17">
        <f>IF(Table2[[#This Row],[Etest_P]]&gt;90,Table2[[#This Row],[Adjusted Salary ]]+(Table2[[#This Row],[Adjusted Salary ]]*5%),Table2[[#This Row],[Adjusted Salary ]])</f>
        <v>300000</v>
      </c>
    </row>
    <row r="92" spans="1:18">
      <c r="A92" s="3">
        <v>7</v>
      </c>
      <c r="B92" s="3" t="s">
        <v>30</v>
      </c>
      <c r="C92" s="4">
        <v>46</v>
      </c>
      <c r="D92" s="3" t="s">
        <v>0</v>
      </c>
      <c r="E92" s="5">
        <v>49.2</v>
      </c>
      <c r="F92" s="3" t="s">
        <v>0</v>
      </c>
      <c r="G92" s="3" t="s">
        <v>1</v>
      </c>
      <c r="H92" s="4">
        <v>79</v>
      </c>
      <c r="I92" s="3" t="s">
        <v>11</v>
      </c>
      <c r="J92" s="3" t="s">
        <v>3</v>
      </c>
      <c r="K92" s="4">
        <v>74.28</v>
      </c>
      <c r="L92" s="3" t="s">
        <v>9</v>
      </c>
      <c r="M92" s="4">
        <v>53.29</v>
      </c>
      <c r="N92" s="4" t="str">
        <f t="shared" si="1"/>
        <v>Pass</v>
      </c>
      <c r="O92" s="6" t="s">
        <v>12</v>
      </c>
      <c r="P92" s="6" t="str">
        <f>IF(AND(Table2[[#This Row],[Workex]]="Yes",Table2[[#This Row],[Degree_P]]&gt;70%),"High Priority", "Standard")</f>
        <v>Standard</v>
      </c>
      <c r="Q92" s="9">
        <v>0</v>
      </c>
      <c r="R92" s="17">
        <f>IF(Table2[[#This Row],[Etest_P]]&gt;90,Table2[[#This Row],[Adjusted Salary ]]+(Table2[[#This Row],[Adjusted Salary ]]*5%),Table2[[#This Row],[Adjusted Salary ]])</f>
        <v>0</v>
      </c>
    </row>
    <row r="93" spans="1:18">
      <c r="A93" s="3">
        <v>59</v>
      </c>
      <c r="B93" s="3" t="s">
        <v>29</v>
      </c>
      <c r="C93" s="4">
        <v>74</v>
      </c>
      <c r="D93" s="3" t="s">
        <v>6</v>
      </c>
      <c r="E93" s="5">
        <v>62</v>
      </c>
      <c r="F93" s="3" t="s">
        <v>0</v>
      </c>
      <c r="G93" s="3" t="s">
        <v>7</v>
      </c>
      <c r="H93" s="4">
        <v>68</v>
      </c>
      <c r="I93" s="3" t="s">
        <v>11</v>
      </c>
      <c r="J93" s="3" t="s">
        <v>3</v>
      </c>
      <c r="K93" s="4">
        <v>74</v>
      </c>
      <c r="L93" s="3" t="s">
        <v>9</v>
      </c>
      <c r="M93" s="4">
        <v>57.99</v>
      </c>
      <c r="N93" s="4" t="str">
        <f t="shared" si="1"/>
        <v>Pass</v>
      </c>
      <c r="O93" s="6" t="s">
        <v>5</v>
      </c>
      <c r="P93" s="6" t="str">
        <f>IF(AND(Table2[[#This Row],[Workex]]="Yes",Table2[[#This Row],[Degree_P]]&gt;70%),"High Priority", "Standard")</f>
        <v>Standard</v>
      </c>
      <c r="Q93" s="9">
        <v>268000</v>
      </c>
      <c r="R93" s="17">
        <f>IF(Table2[[#This Row],[Etest_P]]&gt;90,Table2[[#This Row],[Adjusted Salary ]]+(Table2[[#This Row],[Adjusted Salary ]]*5%),Table2[[#This Row],[Adjusted Salary ]])</f>
        <v>268000</v>
      </c>
    </row>
    <row r="94" spans="1:18">
      <c r="A94" s="6">
        <v>76</v>
      </c>
      <c r="B94" s="6" t="s">
        <v>30</v>
      </c>
      <c r="C94" s="7">
        <v>59</v>
      </c>
      <c r="D94" s="6" t="s">
        <v>6</v>
      </c>
      <c r="E94" s="8">
        <v>62</v>
      </c>
      <c r="F94" s="6" t="s">
        <v>0</v>
      </c>
      <c r="G94" s="6" t="s">
        <v>1</v>
      </c>
      <c r="H94" s="7">
        <v>77.5</v>
      </c>
      <c r="I94" s="6" t="s">
        <v>11</v>
      </c>
      <c r="J94" s="6" t="s">
        <v>3</v>
      </c>
      <c r="K94" s="7">
        <v>74</v>
      </c>
      <c r="L94" s="6" t="s">
        <v>4</v>
      </c>
      <c r="M94" s="7">
        <v>67</v>
      </c>
      <c r="N94" s="7" t="str">
        <f t="shared" si="1"/>
        <v>First Class</v>
      </c>
      <c r="O94" s="6" t="s">
        <v>12</v>
      </c>
      <c r="P94" s="6" t="str">
        <f>IF(AND(Table2[[#This Row],[Workex]]="Yes",Table2[[#This Row],[Degree_P]]&gt;70%),"High Priority", "Standard")</f>
        <v>Standard</v>
      </c>
      <c r="Q94" s="10">
        <v>0</v>
      </c>
      <c r="R94" s="17">
        <f>IF(Table2[[#This Row],[Etest_P]]&gt;90,Table2[[#This Row],[Adjusted Salary ]]+(Table2[[#This Row],[Adjusted Salary ]]*5%),Table2[[#This Row],[Adjusted Salary ]])</f>
        <v>0</v>
      </c>
    </row>
    <row r="95" spans="1:18">
      <c r="A95" s="6">
        <v>212</v>
      </c>
      <c r="B95" s="6" t="s">
        <v>29</v>
      </c>
      <c r="C95" s="7">
        <v>58</v>
      </c>
      <c r="D95" s="6" t="s">
        <v>0</v>
      </c>
      <c r="E95" s="8">
        <v>60</v>
      </c>
      <c r="F95" s="6" t="s">
        <v>0</v>
      </c>
      <c r="G95" s="6" t="s">
        <v>7</v>
      </c>
      <c r="H95" s="7">
        <v>72</v>
      </c>
      <c r="I95" s="6" t="s">
        <v>2</v>
      </c>
      <c r="J95" s="6" t="s">
        <v>3</v>
      </c>
      <c r="K95" s="7">
        <v>74</v>
      </c>
      <c r="L95" s="6" t="s">
        <v>9</v>
      </c>
      <c r="M95" s="7">
        <v>53.62</v>
      </c>
      <c r="N95" s="7" t="str">
        <f t="shared" si="1"/>
        <v>Pass</v>
      </c>
      <c r="O95" s="6" t="s">
        <v>5</v>
      </c>
      <c r="P95" s="6" t="str">
        <f>IF(AND(Table2[[#This Row],[Workex]]="Yes",Table2[[#This Row],[Degree_P]]&gt;70%),"High Priority", "Standard")</f>
        <v>Standard</v>
      </c>
      <c r="Q95" s="10">
        <v>275000</v>
      </c>
      <c r="R95" s="17">
        <f>IF(Table2[[#This Row],[Etest_P]]&gt;90,Table2[[#This Row],[Adjusted Salary ]]+(Table2[[#This Row],[Adjusted Salary ]]*5%),Table2[[#This Row],[Adjusted Salary ]])</f>
        <v>275000</v>
      </c>
    </row>
    <row r="96" spans="1:18">
      <c r="A96" s="6">
        <v>29</v>
      </c>
      <c r="B96" s="6" t="s">
        <v>29</v>
      </c>
      <c r="C96" s="7">
        <v>76.760000000000005</v>
      </c>
      <c r="D96" s="6" t="s">
        <v>0</v>
      </c>
      <c r="E96" s="8">
        <v>76.5</v>
      </c>
      <c r="F96" s="6" t="s">
        <v>0</v>
      </c>
      <c r="G96" s="6" t="s">
        <v>1</v>
      </c>
      <c r="H96" s="7">
        <v>67.5</v>
      </c>
      <c r="I96" s="6" t="s">
        <v>11</v>
      </c>
      <c r="J96" s="6" t="s">
        <v>8</v>
      </c>
      <c r="K96" s="7">
        <v>73.349999999999994</v>
      </c>
      <c r="L96" s="6" t="s">
        <v>9</v>
      </c>
      <c r="M96" s="7">
        <v>64.150000000000006</v>
      </c>
      <c r="N96" s="7" t="str">
        <f t="shared" si="1"/>
        <v>First Class</v>
      </c>
      <c r="O96" s="6" t="s">
        <v>5</v>
      </c>
      <c r="P96" s="6" t="str">
        <f>IF(AND(Table2[[#This Row],[Workex]]="Yes",Table2[[#This Row],[Degree_P]]&gt;70%),"High Priority", "Standard")</f>
        <v>High Priority</v>
      </c>
      <c r="Q96" s="10">
        <v>350000</v>
      </c>
      <c r="R96" s="17">
        <f>IF(Table2[[#This Row],[Etest_P]]&gt;90,Table2[[#This Row],[Adjusted Salary ]]+(Table2[[#This Row],[Adjusted Salary ]]*5%),Table2[[#This Row],[Adjusted Salary ]])</f>
        <v>350000</v>
      </c>
    </row>
    <row r="97" spans="1:18">
      <c r="A97" s="3">
        <v>121</v>
      </c>
      <c r="B97" s="3" t="s">
        <v>29</v>
      </c>
      <c r="C97" s="4">
        <v>58</v>
      </c>
      <c r="D97" s="3" t="s">
        <v>0</v>
      </c>
      <c r="E97" s="5">
        <v>40</v>
      </c>
      <c r="F97" s="3" t="s">
        <v>0</v>
      </c>
      <c r="G97" s="3" t="s">
        <v>7</v>
      </c>
      <c r="H97" s="4">
        <v>59</v>
      </c>
      <c r="I97" s="3" t="s">
        <v>11</v>
      </c>
      <c r="J97" s="3" t="s">
        <v>3</v>
      </c>
      <c r="K97" s="4">
        <v>73</v>
      </c>
      <c r="L97" s="3" t="s">
        <v>4</v>
      </c>
      <c r="M97" s="4">
        <v>58.81</v>
      </c>
      <c r="N97" s="4" t="str">
        <f t="shared" si="1"/>
        <v>Pass</v>
      </c>
      <c r="O97" s="6" t="s">
        <v>12</v>
      </c>
      <c r="P97" s="6" t="str">
        <f>IF(AND(Table2[[#This Row],[Workex]]="Yes",Table2[[#This Row],[Degree_P]]&gt;70%),"High Priority", "Standard")</f>
        <v>Standard</v>
      </c>
      <c r="Q97" s="9">
        <v>0</v>
      </c>
      <c r="R97" s="17">
        <f>IF(Table2[[#This Row],[Etest_P]]&gt;90,Table2[[#This Row],[Adjusted Salary ]]+(Table2[[#This Row],[Adjusted Salary ]]*5%),Table2[[#This Row],[Adjusted Salary ]])</f>
        <v>0</v>
      </c>
    </row>
    <row r="98" spans="1:18">
      <c r="A98" s="6">
        <v>179</v>
      </c>
      <c r="B98" s="6" t="s">
        <v>29</v>
      </c>
      <c r="C98" s="7">
        <v>68</v>
      </c>
      <c r="D98" s="6" t="s">
        <v>0</v>
      </c>
      <c r="E98" s="8">
        <v>56</v>
      </c>
      <c r="F98" s="6" t="s">
        <v>0</v>
      </c>
      <c r="G98" s="6" t="s">
        <v>7</v>
      </c>
      <c r="H98" s="7">
        <v>68</v>
      </c>
      <c r="I98" s="6" t="s">
        <v>2</v>
      </c>
      <c r="J98" s="6" t="s">
        <v>3</v>
      </c>
      <c r="K98" s="7">
        <v>73</v>
      </c>
      <c r="L98" s="6" t="s">
        <v>4</v>
      </c>
      <c r="M98" s="7">
        <v>68.069999999999993</v>
      </c>
      <c r="N98" s="7" t="str">
        <f t="shared" si="1"/>
        <v>First Class</v>
      </c>
      <c r="O98" s="6" t="s">
        <v>5</v>
      </c>
      <c r="P98" s="6" t="str">
        <f>IF(AND(Table2[[#This Row],[Workex]]="Yes",Table2[[#This Row],[Degree_P]]&gt;70%),"High Priority", "Standard")</f>
        <v>Standard</v>
      </c>
      <c r="Q98" s="10">
        <v>350000</v>
      </c>
      <c r="R98" s="17">
        <f>IF(Table2[[#This Row],[Etest_P]]&gt;90,Table2[[#This Row],[Adjusted Salary ]]+(Table2[[#This Row],[Adjusted Salary ]]*5%),Table2[[#This Row],[Adjusted Salary ]])</f>
        <v>350000</v>
      </c>
    </row>
    <row r="99" spans="1:18">
      <c r="A99" s="6">
        <v>200</v>
      </c>
      <c r="B99" s="6" t="s">
        <v>29</v>
      </c>
      <c r="C99" s="7">
        <v>69</v>
      </c>
      <c r="D99" s="6" t="s">
        <v>0</v>
      </c>
      <c r="E99" s="8">
        <v>65</v>
      </c>
      <c r="F99" s="6" t="s">
        <v>0</v>
      </c>
      <c r="G99" s="6" t="s">
        <v>1</v>
      </c>
      <c r="H99" s="7">
        <v>57</v>
      </c>
      <c r="I99" s="6" t="s">
        <v>11</v>
      </c>
      <c r="J99" s="6" t="s">
        <v>3</v>
      </c>
      <c r="K99" s="7">
        <v>73</v>
      </c>
      <c r="L99" s="6" t="s">
        <v>4</v>
      </c>
      <c r="M99" s="7">
        <v>55.8</v>
      </c>
      <c r="N99" s="7" t="str">
        <f t="shared" si="1"/>
        <v>Pass</v>
      </c>
      <c r="O99" s="6" t="s">
        <v>5</v>
      </c>
      <c r="P99" s="6" t="str">
        <f>IF(AND(Table2[[#This Row],[Workex]]="Yes",Table2[[#This Row],[Degree_P]]&gt;70%),"High Priority", "Standard")</f>
        <v>Standard</v>
      </c>
      <c r="Q99" s="10">
        <v>265000</v>
      </c>
      <c r="R99" s="17">
        <f>IF(Table2[[#This Row],[Etest_P]]&gt;90,Table2[[#This Row],[Adjusted Salary ]]+(Table2[[#This Row],[Adjusted Salary ]]*5%),Table2[[#This Row],[Adjusted Salary ]])</f>
        <v>265000</v>
      </c>
    </row>
    <row r="100" spans="1:18">
      <c r="A100" s="3">
        <v>114</v>
      </c>
      <c r="B100" s="3" t="s">
        <v>30</v>
      </c>
      <c r="C100" s="4">
        <v>73.959999999999994</v>
      </c>
      <c r="D100" s="3" t="s">
        <v>0</v>
      </c>
      <c r="E100" s="5">
        <v>79</v>
      </c>
      <c r="F100" s="3" t="s">
        <v>0</v>
      </c>
      <c r="G100" s="3" t="s">
        <v>1</v>
      </c>
      <c r="H100" s="4">
        <v>67</v>
      </c>
      <c r="I100" s="3" t="s">
        <v>11</v>
      </c>
      <c r="J100" s="3" t="s">
        <v>3</v>
      </c>
      <c r="K100" s="4">
        <v>72.150000000000006</v>
      </c>
      <c r="L100" s="3" t="s">
        <v>9</v>
      </c>
      <c r="M100" s="4">
        <v>63.08</v>
      </c>
      <c r="N100" s="4" t="str">
        <f t="shared" si="1"/>
        <v>First Class</v>
      </c>
      <c r="O100" s="6" t="s">
        <v>5</v>
      </c>
      <c r="P100" s="6" t="str">
        <f>IF(AND(Table2[[#This Row],[Workex]]="Yes",Table2[[#This Row],[Degree_P]]&gt;70%),"High Priority", "Standard")</f>
        <v>Standard</v>
      </c>
      <c r="Q100" s="9">
        <v>280000</v>
      </c>
      <c r="R100" s="17">
        <f>IF(Table2[[#This Row],[Etest_P]]&gt;90,Table2[[#This Row],[Adjusted Salary ]]+(Table2[[#This Row],[Adjusted Salary ]]*5%),Table2[[#This Row],[Adjusted Salary ]])</f>
        <v>280000</v>
      </c>
    </row>
    <row r="101" spans="1:18">
      <c r="A101" s="3">
        <v>16</v>
      </c>
      <c r="B101" s="3" t="s">
        <v>30</v>
      </c>
      <c r="C101" s="4">
        <v>65</v>
      </c>
      <c r="D101" s="3" t="s">
        <v>6</v>
      </c>
      <c r="E101" s="5">
        <v>75</v>
      </c>
      <c r="F101" s="3" t="s">
        <v>6</v>
      </c>
      <c r="G101" s="3" t="s">
        <v>1</v>
      </c>
      <c r="H101" s="4">
        <v>69</v>
      </c>
      <c r="I101" s="3" t="s">
        <v>11</v>
      </c>
      <c r="J101" s="3" t="s">
        <v>8</v>
      </c>
      <c r="K101" s="4">
        <v>72</v>
      </c>
      <c r="L101" s="3" t="s">
        <v>9</v>
      </c>
      <c r="M101" s="4">
        <v>64.66</v>
      </c>
      <c r="N101" s="4" t="str">
        <f t="shared" si="1"/>
        <v>First Class</v>
      </c>
      <c r="O101" s="6" t="s">
        <v>5</v>
      </c>
      <c r="P101" s="6" t="str">
        <f>IF(AND(Table2[[#This Row],[Workex]]="Yes",Table2[[#This Row],[Degree_P]]&gt;70%),"High Priority", "Standard")</f>
        <v>High Priority</v>
      </c>
      <c r="Q101" s="9">
        <v>200000</v>
      </c>
      <c r="R101" s="17">
        <f>IF(Table2[[#This Row],[Etest_P]]&gt;90,Table2[[#This Row],[Adjusted Salary ]]+(Table2[[#This Row],[Adjusted Salary ]]*5%),Table2[[#This Row],[Adjusted Salary ]])</f>
        <v>200000</v>
      </c>
    </row>
    <row r="102" spans="1:18">
      <c r="A102" s="6">
        <v>93</v>
      </c>
      <c r="B102" s="6" t="s">
        <v>30</v>
      </c>
      <c r="C102" s="7">
        <v>60.23</v>
      </c>
      <c r="D102" s="6" t="s">
        <v>6</v>
      </c>
      <c r="E102" s="8">
        <v>69</v>
      </c>
      <c r="F102" s="6" t="s">
        <v>6</v>
      </c>
      <c r="G102" s="6" t="s">
        <v>7</v>
      </c>
      <c r="H102" s="7">
        <v>66</v>
      </c>
      <c r="I102" s="6" t="s">
        <v>11</v>
      </c>
      <c r="J102" s="6" t="s">
        <v>3</v>
      </c>
      <c r="K102" s="7">
        <v>72</v>
      </c>
      <c r="L102" s="6" t="s">
        <v>9</v>
      </c>
      <c r="M102" s="7">
        <v>59.47</v>
      </c>
      <c r="N102" s="7" t="str">
        <f t="shared" si="1"/>
        <v>Pass</v>
      </c>
      <c r="O102" s="6" t="s">
        <v>5</v>
      </c>
      <c r="P102" s="6" t="str">
        <f>IF(AND(Table2[[#This Row],[Workex]]="Yes",Table2[[#This Row],[Degree_P]]&gt;70%),"High Priority", "Standard")</f>
        <v>Standard</v>
      </c>
      <c r="Q102" s="10">
        <v>230000</v>
      </c>
      <c r="R102" s="17">
        <f>IF(Table2[[#This Row],[Etest_P]]&gt;90,Table2[[#This Row],[Adjusted Salary ]]+(Table2[[#This Row],[Adjusted Salary ]]*5%),Table2[[#This Row],[Adjusted Salary ]])</f>
        <v>230000</v>
      </c>
    </row>
    <row r="103" spans="1:18">
      <c r="A103" s="6">
        <v>94</v>
      </c>
      <c r="B103" s="6" t="s">
        <v>29</v>
      </c>
      <c r="C103" s="7">
        <v>52</v>
      </c>
      <c r="D103" s="6" t="s">
        <v>6</v>
      </c>
      <c r="E103" s="8">
        <v>62</v>
      </c>
      <c r="F103" s="6" t="s">
        <v>6</v>
      </c>
      <c r="G103" s="6" t="s">
        <v>1</v>
      </c>
      <c r="H103" s="7">
        <v>54</v>
      </c>
      <c r="I103" s="6" t="s">
        <v>11</v>
      </c>
      <c r="J103" s="6" t="s">
        <v>3</v>
      </c>
      <c r="K103" s="7">
        <v>72</v>
      </c>
      <c r="L103" s="6" t="s">
        <v>4</v>
      </c>
      <c r="M103" s="7">
        <v>55.41</v>
      </c>
      <c r="N103" s="7" t="str">
        <f t="shared" si="1"/>
        <v>Pass</v>
      </c>
      <c r="O103" s="6" t="s">
        <v>12</v>
      </c>
      <c r="P103" s="6" t="str">
        <f>IF(AND(Table2[[#This Row],[Workex]]="Yes",Table2[[#This Row],[Degree_P]]&gt;70%),"High Priority", "Standard")</f>
        <v>Standard</v>
      </c>
      <c r="Q103" s="10">
        <v>0</v>
      </c>
      <c r="R103" s="17">
        <f>IF(Table2[[#This Row],[Etest_P]]&gt;90,Table2[[#This Row],[Adjusted Salary ]]+(Table2[[#This Row],[Adjusted Salary ]]*5%),Table2[[#This Row],[Adjusted Salary ]])</f>
        <v>0</v>
      </c>
    </row>
    <row r="104" spans="1:18">
      <c r="A104" s="6">
        <v>146</v>
      </c>
      <c r="B104" s="6" t="s">
        <v>29</v>
      </c>
      <c r="C104" s="7">
        <v>89.4</v>
      </c>
      <c r="D104" s="6" t="s">
        <v>0</v>
      </c>
      <c r="E104" s="8">
        <v>65.66</v>
      </c>
      <c r="F104" s="6" t="s">
        <v>0</v>
      </c>
      <c r="G104" s="6" t="s">
        <v>7</v>
      </c>
      <c r="H104" s="7">
        <v>71.25</v>
      </c>
      <c r="I104" s="6" t="s">
        <v>2</v>
      </c>
      <c r="J104" s="6" t="s">
        <v>3</v>
      </c>
      <c r="K104" s="7">
        <v>72</v>
      </c>
      <c r="L104" s="6" t="s">
        <v>4</v>
      </c>
      <c r="M104" s="7">
        <v>63.23</v>
      </c>
      <c r="N104" s="7" t="str">
        <f t="shared" si="1"/>
        <v>First Class</v>
      </c>
      <c r="O104" s="6" t="s">
        <v>5</v>
      </c>
      <c r="P104" s="6" t="str">
        <f>IF(AND(Table2[[#This Row],[Workex]]="Yes",Table2[[#This Row],[Degree_P]]&gt;70%),"High Priority", "Standard")</f>
        <v>Standard</v>
      </c>
      <c r="Q104" s="10">
        <v>400000</v>
      </c>
      <c r="R104" s="17">
        <f>IF(Table2[[#This Row],[Etest_P]]&gt;90,Table2[[#This Row],[Adjusted Salary ]]+(Table2[[#This Row],[Adjusted Salary ]]*5%),Table2[[#This Row],[Adjusted Salary ]])</f>
        <v>400000</v>
      </c>
    </row>
    <row r="105" spans="1:18">
      <c r="A105" s="3">
        <v>192</v>
      </c>
      <c r="B105" s="3" t="s">
        <v>29</v>
      </c>
      <c r="C105" s="4">
        <v>67</v>
      </c>
      <c r="D105" s="3" t="s">
        <v>0</v>
      </c>
      <c r="E105" s="5">
        <v>61</v>
      </c>
      <c r="F105" s="3" t="s">
        <v>6</v>
      </c>
      <c r="G105" s="3" t="s">
        <v>7</v>
      </c>
      <c r="H105" s="4">
        <v>72</v>
      </c>
      <c r="I105" s="3" t="s">
        <v>11</v>
      </c>
      <c r="J105" s="3" t="s">
        <v>3</v>
      </c>
      <c r="K105" s="4">
        <v>72</v>
      </c>
      <c r="L105" s="3" t="s">
        <v>9</v>
      </c>
      <c r="M105" s="4">
        <v>61.01</v>
      </c>
      <c r="N105" s="4" t="str">
        <f t="shared" si="1"/>
        <v>First Class</v>
      </c>
      <c r="O105" s="6" t="s">
        <v>5</v>
      </c>
      <c r="P105" s="6" t="str">
        <f>IF(AND(Table2[[#This Row],[Workex]]="Yes",Table2[[#This Row],[Degree_P]]&gt;70%),"High Priority", "Standard")</f>
        <v>Standard</v>
      </c>
      <c r="Q105" s="9">
        <v>264000</v>
      </c>
      <c r="R105" s="17">
        <f>IF(Table2[[#This Row],[Etest_P]]&gt;90,Table2[[#This Row],[Adjusted Salary ]]+(Table2[[#This Row],[Adjusted Salary ]]*5%),Table2[[#This Row],[Adjusted Salary ]])</f>
        <v>264000</v>
      </c>
    </row>
    <row r="106" spans="1:18">
      <c r="A106" s="3">
        <v>53</v>
      </c>
      <c r="B106" s="3" t="s">
        <v>30</v>
      </c>
      <c r="C106" s="4">
        <v>40.89</v>
      </c>
      <c r="D106" s="3" t="s">
        <v>0</v>
      </c>
      <c r="E106" s="5">
        <v>45.83</v>
      </c>
      <c r="F106" s="3" t="s">
        <v>0</v>
      </c>
      <c r="G106" s="3" t="s">
        <v>1</v>
      </c>
      <c r="H106" s="4">
        <v>53</v>
      </c>
      <c r="I106" s="3" t="s">
        <v>11</v>
      </c>
      <c r="J106" s="3" t="s">
        <v>3</v>
      </c>
      <c r="K106" s="4">
        <v>71.2</v>
      </c>
      <c r="L106" s="3" t="s">
        <v>4</v>
      </c>
      <c r="M106" s="4">
        <v>65.489999999999995</v>
      </c>
      <c r="N106" s="4" t="str">
        <f t="shared" si="1"/>
        <v>First Class</v>
      </c>
      <c r="O106" s="6" t="s">
        <v>12</v>
      </c>
      <c r="P106" s="6" t="str">
        <f>IF(AND(Table2[[#This Row],[Workex]]="Yes",Table2[[#This Row],[Degree_P]]&gt;70%),"High Priority", "Standard")</f>
        <v>Standard</v>
      </c>
      <c r="Q106" s="9">
        <v>0</v>
      </c>
      <c r="R106" s="17">
        <f>IF(Table2[[#This Row],[Etest_P]]&gt;90,Table2[[#This Row],[Adjusted Salary ]]+(Table2[[#This Row],[Adjusted Salary ]]*5%),Table2[[#This Row],[Adjusted Salary ]])</f>
        <v>0</v>
      </c>
    </row>
    <row r="107" spans="1:18">
      <c r="A107" s="6">
        <v>36</v>
      </c>
      <c r="B107" s="6" t="s">
        <v>30</v>
      </c>
      <c r="C107" s="7">
        <v>69</v>
      </c>
      <c r="D107" s="6" t="s">
        <v>6</v>
      </c>
      <c r="E107" s="8">
        <v>78</v>
      </c>
      <c r="F107" s="6" t="s">
        <v>6</v>
      </c>
      <c r="G107" s="6" t="s">
        <v>1</v>
      </c>
      <c r="H107" s="7">
        <v>72</v>
      </c>
      <c r="I107" s="6" t="s">
        <v>11</v>
      </c>
      <c r="J107" s="6" t="s">
        <v>3</v>
      </c>
      <c r="K107" s="7">
        <v>71</v>
      </c>
      <c r="L107" s="6" t="s">
        <v>4</v>
      </c>
      <c r="M107" s="7">
        <v>62.74</v>
      </c>
      <c r="N107" s="7" t="str">
        <f t="shared" si="1"/>
        <v>First Class</v>
      </c>
      <c r="O107" s="6" t="s">
        <v>5</v>
      </c>
      <c r="P107" s="6" t="str">
        <f>IF(AND(Table2[[#This Row],[Workex]]="Yes",Table2[[#This Row],[Degree_P]]&gt;70%),"High Priority", "Standard")</f>
        <v>Standard</v>
      </c>
      <c r="Q107" s="10">
        <v>300000</v>
      </c>
      <c r="R107" s="17">
        <f>IF(Table2[[#This Row],[Etest_P]]&gt;90,Table2[[#This Row],[Adjusted Salary ]]+(Table2[[#This Row],[Adjusted Salary ]]*5%),Table2[[#This Row],[Adjusted Salary ]])</f>
        <v>300000</v>
      </c>
    </row>
    <row r="108" spans="1:18">
      <c r="A108" s="6">
        <v>56</v>
      </c>
      <c r="B108" s="6" t="s">
        <v>29</v>
      </c>
      <c r="C108" s="7">
        <v>60.4</v>
      </c>
      <c r="D108" s="6" t="s">
        <v>6</v>
      </c>
      <c r="E108" s="8">
        <v>66.599999999999994</v>
      </c>
      <c r="F108" s="6" t="s">
        <v>0</v>
      </c>
      <c r="G108" s="6" t="s">
        <v>7</v>
      </c>
      <c r="H108" s="7">
        <v>65</v>
      </c>
      <c r="I108" s="6" t="s">
        <v>11</v>
      </c>
      <c r="J108" s="6" t="s">
        <v>3</v>
      </c>
      <c r="K108" s="7">
        <v>71</v>
      </c>
      <c r="L108" s="6" t="s">
        <v>4</v>
      </c>
      <c r="M108" s="7">
        <v>52.71</v>
      </c>
      <c r="N108" s="7" t="str">
        <f t="shared" si="1"/>
        <v>Pass</v>
      </c>
      <c r="O108" s="6" t="s">
        <v>5</v>
      </c>
      <c r="P108" s="6" t="str">
        <f>IF(AND(Table2[[#This Row],[Workex]]="Yes",Table2[[#This Row],[Degree_P]]&gt;70%),"High Priority", "Standard")</f>
        <v>Standard</v>
      </c>
      <c r="Q108" s="10">
        <v>220000</v>
      </c>
      <c r="R108" s="17">
        <f>IF(Table2[[#This Row],[Etest_P]]&gt;90,Table2[[#This Row],[Adjusted Salary ]]+(Table2[[#This Row],[Adjusted Salary ]]*5%),Table2[[#This Row],[Adjusted Salary ]])</f>
        <v>220000</v>
      </c>
    </row>
    <row r="109" spans="1:18">
      <c r="A109" s="6">
        <v>107</v>
      </c>
      <c r="B109" s="6" t="s">
        <v>29</v>
      </c>
      <c r="C109" s="7">
        <v>61.08</v>
      </c>
      <c r="D109" s="6" t="s">
        <v>0</v>
      </c>
      <c r="E109" s="8">
        <v>50</v>
      </c>
      <c r="F109" s="6" t="s">
        <v>0</v>
      </c>
      <c r="G109" s="6" t="s">
        <v>7</v>
      </c>
      <c r="H109" s="7">
        <v>54</v>
      </c>
      <c r="I109" s="6" t="s">
        <v>2</v>
      </c>
      <c r="J109" s="6" t="s">
        <v>3</v>
      </c>
      <c r="K109" s="7">
        <v>71</v>
      </c>
      <c r="L109" s="6" t="s">
        <v>9</v>
      </c>
      <c r="M109" s="7">
        <v>65.69</v>
      </c>
      <c r="N109" s="7" t="str">
        <f t="shared" si="1"/>
        <v>First Class</v>
      </c>
      <c r="O109" s="6" t="s">
        <v>12</v>
      </c>
      <c r="P109" s="6" t="str">
        <f>IF(AND(Table2[[#This Row],[Workex]]="Yes",Table2[[#This Row],[Degree_P]]&gt;70%),"High Priority", "Standard")</f>
        <v>Standard</v>
      </c>
      <c r="Q109" s="10">
        <v>0</v>
      </c>
      <c r="R109" s="17">
        <f>IF(Table2[[#This Row],[Etest_P]]&gt;90,Table2[[#This Row],[Adjusted Salary ]]+(Table2[[#This Row],[Adjusted Salary ]]*5%),Table2[[#This Row],[Adjusted Salary ]])</f>
        <v>0</v>
      </c>
    </row>
    <row r="110" spans="1:18">
      <c r="A110" s="3">
        <v>70</v>
      </c>
      <c r="B110" s="3" t="s">
        <v>29</v>
      </c>
      <c r="C110" s="4">
        <v>73</v>
      </c>
      <c r="D110" s="3" t="s">
        <v>6</v>
      </c>
      <c r="E110" s="5">
        <v>73</v>
      </c>
      <c r="F110" s="3" t="s">
        <v>6</v>
      </c>
      <c r="G110" s="3" t="s">
        <v>7</v>
      </c>
      <c r="H110" s="4">
        <v>66</v>
      </c>
      <c r="I110" s="3" t="s">
        <v>2</v>
      </c>
      <c r="J110" s="3" t="s">
        <v>8</v>
      </c>
      <c r="K110" s="4">
        <v>70</v>
      </c>
      <c r="L110" s="3" t="s">
        <v>9</v>
      </c>
      <c r="M110" s="4">
        <v>68.069999999999993</v>
      </c>
      <c r="N110" s="4" t="str">
        <f t="shared" si="1"/>
        <v>First Class</v>
      </c>
      <c r="O110" s="6" t="s">
        <v>5</v>
      </c>
      <c r="P110" s="6" t="str">
        <f>IF(AND(Table2[[#This Row],[Workex]]="Yes",Table2[[#This Row],[Degree_P]]&gt;70%),"High Priority", "Standard")</f>
        <v>High Priority</v>
      </c>
      <c r="Q110" s="9">
        <v>275000</v>
      </c>
      <c r="R110" s="17">
        <f>IF(Table2[[#This Row],[Etest_P]]&gt;90,Table2[[#This Row],[Adjusted Salary ]]+(Table2[[#This Row],[Adjusted Salary ]]*5%),Table2[[#This Row],[Adjusted Salary ]])</f>
        <v>275000</v>
      </c>
    </row>
    <row r="111" spans="1:18">
      <c r="A111" s="6">
        <v>99</v>
      </c>
      <c r="B111" s="6" t="s">
        <v>30</v>
      </c>
      <c r="C111" s="7">
        <v>69</v>
      </c>
      <c r="D111" s="6" t="s">
        <v>6</v>
      </c>
      <c r="E111" s="8">
        <v>73</v>
      </c>
      <c r="F111" s="6" t="s">
        <v>6</v>
      </c>
      <c r="G111" s="6" t="s">
        <v>1</v>
      </c>
      <c r="H111" s="7">
        <v>65</v>
      </c>
      <c r="I111" s="6" t="s">
        <v>11</v>
      </c>
      <c r="J111" s="6" t="s">
        <v>3</v>
      </c>
      <c r="K111" s="7">
        <v>70</v>
      </c>
      <c r="L111" s="6" t="s">
        <v>9</v>
      </c>
      <c r="M111" s="7">
        <v>57.31</v>
      </c>
      <c r="N111" s="7" t="str">
        <f t="shared" si="1"/>
        <v>Pass</v>
      </c>
      <c r="O111" s="6" t="s">
        <v>5</v>
      </c>
      <c r="P111" s="6" t="str">
        <f>IF(AND(Table2[[#This Row],[Workex]]="Yes",Table2[[#This Row],[Degree_P]]&gt;70%),"High Priority", "Standard")</f>
        <v>Standard</v>
      </c>
      <c r="Q111" s="10">
        <v>220000</v>
      </c>
      <c r="R111" s="17">
        <f>IF(Table2[[#This Row],[Etest_P]]&gt;90,Table2[[#This Row],[Adjusted Salary ]]+(Table2[[#This Row],[Adjusted Salary ]]*5%),Table2[[#This Row],[Adjusted Salary ]])</f>
        <v>220000</v>
      </c>
    </row>
    <row r="112" spans="1:18">
      <c r="A112" s="3">
        <v>127</v>
      </c>
      <c r="B112" s="3" t="s">
        <v>30</v>
      </c>
      <c r="C112" s="4">
        <v>79</v>
      </c>
      <c r="D112" s="3" t="s">
        <v>0</v>
      </c>
      <c r="E112" s="5">
        <v>61</v>
      </c>
      <c r="F112" s="3" t="s">
        <v>0</v>
      </c>
      <c r="G112" s="3" t="s">
        <v>7</v>
      </c>
      <c r="H112" s="4">
        <v>75.5</v>
      </c>
      <c r="I112" s="3" t="s">
        <v>2</v>
      </c>
      <c r="J112" s="3" t="s">
        <v>8</v>
      </c>
      <c r="K112" s="4">
        <v>70</v>
      </c>
      <c r="L112" s="3" t="s">
        <v>9</v>
      </c>
      <c r="M112" s="4">
        <v>68.2</v>
      </c>
      <c r="N112" s="4" t="str">
        <f t="shared" si="1"/>
        <v>First Class</v>
      </c>
      <c r="O112" s="6" t="s">
        <v>5</v>
      </c>
      <c r="P112" s="6" t="str">
        <f>IF(AND(Table2[[#This Row],[Workex]]="Yes",Table2[[#This Row],[Degree_P]]&gt;70%),"High Priority", "Standard")</f>
        <v>High Priority</v>
      </c>
      <c r="Q112" s="9">
        <v>210000</v>
      </c>
      <c r="R112" s="17">
        <f>IF(Table2[[#This Row],[Etest_P]]&gt;90,Table2[[#This Row],[Adjusted Salary ]]+(Table2[[#This Row],[Adjusted Salary ]]*5%),Table2[[#This Row],[Adjusted Salary ]])</f>
        <v>210000</v>
      </c>
    </row>
    <row r="113" spans="1:18">
      <c r="A113" s="6">
        <v>155</v>
      </c>
      <c r="B113" s="6" t="s">
        <v>29</v>
      </c>
      <c r="C113" s="7">
        <v>53</v>
      </c>
      <c r="D113" s="6" t="s">
        <v>6</v>
      </c>
      <c r="E113" s="8">
        <v>63</v>
      </c>
      <c r="F113" s="6" t="s">
        <v>0</v>
      </c>
      <c r="G113" s="6" t="s">
        <v>7</v>
      </c>
      <c r="H113" s="7">
        <v>60</v>
      </c>
      <c r="I113" s="6" t="s">
        <v>11</v>
      </c>
      <c r="J113" s="6" t="s">
        <v>8</v>
      </c>
      <c r="K113" s="7">
        <v>70</v>
      </c>
      <c r="L113" s="6" t="s">
        <v>9</v>
      </c>
      <c r="M113" s="7">
        <v>53.2</v>
      </c>
      <c r="N113" s="7" t="str">
        <f t="shared" si="1"/>
        <v>Pass</v>
      </c>
      <c r="O113" s="6" t="s">
        <v>5</v>
      </c>
      <c r="P113" s="6" t="str">
        <f>IF(AND(Table2[[#This Row],[Workex]]="Yes",Table2[[#This Row],[Degree_P]]&gt;70%),"High Priority", "Standard")</f>
        <v>High Priority</v>
      </c>
      <c r="Q113" s="10">
        <v>250000</v>
      </c>
      <c r="R113" s="17">
        <f>IF(Table2[[#This Row],[Etest_P]]&gt;90,Table2[[#This Row],[Adjusted Salary ]]+(Table2[[#This Row],[Adjusted Salary ]]*5%),Table2[[#This Row],[Adjusted Salary ]])</f>
        <v>250000</v>
      </c>
    </row>
    <row r="114" spans="1:18">
      <c r="A114" s="6">
        <v>214</v>
      </c>
      <c r="B114" s="6" t="s">
        <v>30</v>
      </c>
      <c r="C114" s="7">
        <v>74</v>
      </c>
      <c r="D114" s="6" t="s">
        <v>0</v>
      </c>
      <c r="E114" s="8">
        <v>66</v>
      </c>
      <c r="F114" s="6" t="s">
        <v>0</v>
      </c>
      <c r="G114" s="6" t="s">
        <v>1</v>
      </c>
      <c r="H114" s="7">
        <v>58</v>
      </c>
      <c r="I114" s="6" t="s">
        <v>11</v>
      </c>
      <c r="J114" s="6" t="s">
        <v>3</v>
      </c>
      <c r="K114" s="7">
        <v>70</v>
      </c>
      <c r="L114" s="6" t="s">
        <v>4</v>
      </c>
      <c r="M114" s="7">
        <v>60.23</v>
      </c>
      <c r="N114" s="7" t="str">
        <f t="shared" si="1"/>
        <v>First Class</v>
      </c>
      <c r="O114" s="6" t="s">
        <v>5</v>
      </c>
      <c r="P114" s="6" t="str">
        <f>IF(AND(Table2[[#This Row],[Workex]]="Yes",Table2[[#This Row],[Degree_P]]&gt;70%),"High Priority", "Standard")</f>
        <v>Standard</v>
      </c>
      <c r="Q114" s="10">
        <v>204000</v>
      </c>
      <c r="R114" s="17">
        <f>IF(Table2[[#This Row],[Etest_P]]&gt;90,Table2[[#This Row],[Adjusted Salary ]]+(Table2[[#This Row],[Adjusted Salary ]]*5%),Table2[[#This Row],[Adjusted Salary ]])</f>
        <v>204000</v>
      </c>
    </row>
    <row r="115" spans="1:18">
      <c r="A115" s="3">
        <v>78</v>
      </c>
      <c r="B115" s="3" t="s">
        <v>29</v>
      </c>
      <c r="C115" s="4">
        <v>64</v>
      </c>
      <c r="D115" s="3" t="s">
        <v>0</v>
      </c>
      <c r="E115" s="5">
        <v>80</v>
      </c>
      <c r="F115" s="3" t="s">
        <v>0</v>
      </c>
      <c r="G115" s="3" t="s">
        <v>7</v>
      </c>
      <c r="H115" s="4">
        <v>65</v>
      </c>
      <c r="I115" s="3" t="s">
        <v>2</v>
      </c>
      <c r="J115" s="3" t="s">
        <v>8</v>
      </c>
      <c r="K115" s="4">
        <v>69</v>
      </c>
      <c r="L115" s="3" t="s">
        <v>9</v>
      </c>
      <c r="M115" s="4">
        <v>57.65</v>
      </c>
      <c r="N115" s="4" t="str">
        <f t="shared" si="1"/>
        <v>Pass</v>
      </c>
      <c r="O115" s="6" t="s">
        <v>5</v>
      </c>
      <c r="P115" s="6" t="str">
        <f>IF(AND(Table2[[#This Row],[Workex]]="Yes",Table2[[#This Row],[Degree_P]]&gt;70%),"High Priority", "Standard")</f>
        <v>High Priority</v>
      </c>
      <c r="Q115" s="9">
        <v>500000</v>
      </c>
      <c r="R115" s="17">
        <f>IF(Table2[[#This Row],[Etest_P]]&gt;90,Table2[[#This Row],[Adjusted Salary ]]+(Table2[[#This Row],[Adjusted Salary ]]*5%),Table2[[#This Row],[Adjusted Salary ]])</f>
        <v>500000</v>
      </c>
    </row>
    <row r="116" spans="1:18">
      <c r="A116" s="6">
        <v>67</v>
      </c>
      <c r="B116" s="6" t="s">
        <v>29</v>
      </c>
      <c r="C116" s="7">
        <v>83</v>
      </c>
      <c r="D116" s="6" t="s">
        <v>0</v>
      </c>
      <c r="E116" s="8">
        <v>74</v>
      </c>
      <c r="F116" s="6" t="s">
        <v>0</v>
      </c>
      <c r="G116" s="6" t="s">
        <v>7</v>
      </c>
      <c r="H116" s="7">
        <v>66</v>
      </c>
      <c r="I116" s="6" t="s">
        <v>11</v>
      </c>
      <c r="J116" s="6" t="s">
        <v>3</v>
      </c>
      <c r="K116" s="7">
        <v>68.92</v>
      </c>
      <c r="L116" s="6" t="s">
        <v>4</v>
      </c>
      <c r="M116" s="7">
        <v>58.46</v>
      </c>
      <c r="N116" s="7" t="str">
        <f t="shared" si="1"/>
        <v>Pass</v>
      </c>
      <c r="O116" s="6" t="s">
        <v>5</v>
      </c>
      <c r="P116" s="6" t="str">
        <f>IF(AND(Table2[[#This Row],[Workex]]="Yes",Table2[[#This Row],[Degree_P]]&gt;70%),"High Priority", "Standard")</f>
        <v>Standard</v>
      </c>
      <c r="Q116" s="10">
        <v>275000</v>
      </c>
      <c r="R116" s="17">
        <f>IF(Table2[[#This Row],[Etest_P]]&gt;90,Table2[[#This Row],[Adjusted Salary ]]+(Table2[[#This Row],[Adjusted Salary ]]*5%),Table2[[#This Row],[Adjusted Salary ]])</f>
        <v>275000</v>
      </c>
    </row>
    <row r="117" spans="1:18">
      <c r="A117" s="6">
        <v>68</v>
      </c>
      <c r="B117" s="6" t="s">
        <v>29</v>
      </c>
      <c r="C117" s="7">
        <v>80.92</v>
      </c>
      <c r="D117" s="6" t="s">
        <v>0</v>
      </c>
      <c r="E117" s="8">
        <v>78.5</v>
      </c>
      <c r="F117" s="6" t="s">
        <v>0</v>
      </c>
      <c r="G117" s="6" t="s">
        <v>1</v>
      </c>
      <c r="H117" s="7">
        <v>67</v>
      </c>
      <c r="I117" s="6" t="s">
        <v>11</v>
      </c>
      <c r="J117" s="6" t="s">
        <v>3</v>
      </c>
      <c r="K117" s="7">
        <v>68.709999999999994</v>
      </c>
      <c r="L117" s="6" t="s">
        <v>9</v>
      </c>
      <c r="M117" s="7">
        <v>60.99</v>
      </c>
      <c r="N117" s="7" t="str">
        <f t="shared" si="1"/>
        <v>First Class</v>
      </c>
      <c r="O117" s="6" t="s">
        <v>5</v>
      </c>
      <c r="P117" s="6" t="str">
        <f>IF(AND(Table2[[#This Row],[Workex]]="Yes",Table2[[#This Row],[Degree_P]]&gt;70%),"High Priority", "Standard")</f>
        <v>Standard</v>
      </c>
      <c r="Q117" s="10">
        <v>275000</v>
      </c>
      <c r="R117" s="17">
        <f>IF(Table2[[#This Row],[Etest_P]]&gt;90,Table2[[#This Row],[Adjusted Salary ]]+(Table2[[#This Row],[Adjusted Salary ]]*5%),Table2[[#This Row],[Adjusted Salary ]])</f>
        <v>275000</v>
      </c>
    </row>
    <row r="118" spans="1:18">
      <c r="A118" s="3">
        <v>64</v>
      </c>
      <c r="B118" s="3" t="s">
        <v>29</v>
      </c>
      <c r="C118" s="4">
        <v>61</v>
      </c>
      <c r="D118" s="3" t="s">
        <v>0</v>
      </c>
      <c r="E118" s="5">
        <v>70</v>
      </c>
      <c r="F118" s="3" t="s">
        <v>0</v>
      </c>
      <c r="G118" s="3" t="s">
        <v>1</v>
      </c>
      <c r="H118" s="4">
        <v>64</v>
      </c>
      <c r="I118" s="3" t="s">
        <v>11</v>
      </c>
      <c r="J118" s="3" t="s">
        <v>3</v>
      </c>
      <c r="K118" s="4">
        <v>68.5</v>
      </c>
      <c r="L118" s="3" t="s">
        <v>4</v>
      </c>
      <c r="M118" s="4">
        <v>59.5</v>
      </c>
      <c r="N118" s="4" t="str">
        <f t="shared" si="1"/>
        <v>Pass</v>
      </c>
      <c r="O118" s="6" t="s">
        <v>12</v>
      </c>
      <c r="P118" s="6" t="str">
        <f>IF(AND(Table2[[#This Row],[Workex]]="Yes",Table2[[#This Row],[Degree_P]]&gt;70%),"High Priority", "Standard")</f>
        <v>Standard</v>
      </c>
      <c r="Q118" s="9">
        <v>0</v>
      </c>
      <c r="R118" s="17">
        <f>IF(Table2[[#This Row],[Etest_P]]&gt;90,Table2[[#This Row],[Adjusted Salary ]]+(Table2[[#This Row],[Adjusted Salary ]]*5%),Table2[[#This Row],[Adjusted Salary ]])</f>
        <v>0</v>
      </c>
    </row>
    <row r="119" spans="1:18">
      <c r="A119" s="3">
        <v>35</v>
      </c>
      <c r="B119" s="3" t="s">
        <v>29</v>
      </c>
      <c r="C119" s="4">
        <v>62</v>
      </c>
      <c r="D119" s="3" t="s">
        <v>0</v>
      </c>
      <c r="E119" s="5">
        <v>51</v>
      </c>
      <c r="F119" s="3" t="s">
        <v>0</v>
      </c>
      <c r="G119" s="3" t="s">
        <v>7</v>
      </c>
      <c r="H119" s="4">
        <v>52</v>
      </c>
      <c r="I119" s="3" t="s">
        <v>0</v>
      </c>
      <c r="J119" s="3" t="s">
        <v>3</v>
      </c>
      <c r="K119" s="4">
        <v>68.44</v>
      </c>
      <c r="L119" s="3" t="s">
        <v>4</v>
      </c>
      <c r="M119" s="4">
        <v>62.77</v>
      </c>
      <c r="N119" s="4" t="str">
        <f t="shared" si="1"/>
        <v>First Class</v>
      </c>
      <c r="O119" s="6" t="s">
        <v>12</v>
      </c>
      <c r="P119" s="6" t="str">
        <f>IF(AND(Table2[[#This Row],[Workex]]="Yes",Table2[[#This Row],[Degree_P]]&gt;70%),"High Priority", "Standard")</f>
        <v>Standard</v>
      </c>
      <c r="Q119" s="9">
        <v>0</v>
      </c>
      <c r="R119" s="17">
        <f>IF(Table2[[#This Row],[Etest_P]]&gt;90,Table2[[#This Row],[Adjusted Salary ]]+(Table2[[#This Row],[Adjusted Salary ]]*5%),Table2[[#This Row],[Adjusted Salary ]])</f>
        <v>0</v>
      </c>
    </row>
    <row r="120" spans="1:18">
      <c r="A120" s="6">
        <v>14</v>
      </c>
      <c r="B120" s="6" t="s">
        <v>30</v>
      </c>
      <c r="C120" s="7">
        <v>77</v>
      </c>
      <c r="D120" s="6" t="s">
        <v>6</v>
      </c>
      <c r="E120" s="8">
        <v>87</v>
      </c>
      <c r="F120" s="6" t="s">
        <v>6</v>
      </c>
      <c r="G120" s="6" t="s">
        <v>1</v>
      </c>
      <c r="H120" s="7">
        <v>59</v>
      </c>
      <c r="I120" s="6" t="s">
        <v>11</v>
      </c>
      <c r="J120" s="6" t="s">
        <v>3</v>
      </c>
      <c r="K120" s="7">
        <v>68</v>
      </c>
      <c r="L120" s="6" t="s">
        <v>9</v>
      </c>
      <c r="M120" s="7">
        <v>68.63</v>
      </c>
      <c r="N120" s="7" t="str">
        <f t="shared" si="1"/>
        <v>First Class</v>
      </c>
      <c r="O120" s="6" t="s">
        <v>5</v>
      </c>
      <c r="P120" s="6" t="str">
        <f>IF(AND(Table2[[#This Row],[Workex]]="Yes",Table2[[#This Row],[Degree_P]]&gt;70%),"High Priority", "Standard")</f>
        <v>Standard</v>
      </c>
      <c r="Q120" s="10">
        <v>218000</v>
      </c>
      <c r="R120" s="17">
        <f>IF(Table2[[#This Row],[Etest_P]]&gt;90,Table2[[#This Row],[Adjusted Salary ]]+(Table2[[#This Row],[Adjusted Salary ]]*5%),Table2[[#This Row],[Adjusted Salary ]])</f>
        <v>218000</v>
      </c>
    </row>
    <row r="121" spans="1:18">
      <c r="A121" s="3">
        <v>19</v>
      </c>
      <c r="B121" s="3" t="s">
        <v>30</v>
      </c>
      <c r="C121" s="4">
        <v>63</v>
      </c>
      <c r="D121" s="3" t="s">
        <v>6</v>
      </c>
      <c r="E121" s="5">
        <v>66</v>
      </c>
      <c r="F121" s="3" t="s">
        <v>6</v>
      </c>
      <c r="G121" s="3" t="s">
        <v>1</v>
      </c>
      <c r="H121" s="4">
        <v>64</v>
      </c>
      <c r="I121" s="3" t="s">
        <v>11</v>
      </c>
      <c r="J121" s="3" t="s">
        <v>3</v>
      </c>
      <c r="K121" s="4">
        <v>68</v>
      </c>
      <c r="L121" s="3" t="s">
        <v>4</v>
      </c>
      <c r="M121" s="4">
        <v>64.08</v>
      </c>
      <c r="N121" s="4" t="str">
        <f t="shared" si="1"/>
        <v>First Class</v>
      </c>
      <c r="O121" s="6" t="s">
        <v>12</v>
      </c>
      <c r="P121" s="6" t="str">
        <f>IF(AND(Table2[[#This Row],[Workex]]="Yes",Table2[[#This Row],[Degree_P]]&gt;70%),"High Priority", "Standard")</f>
        <v>Standard</v>
      </c>
      <c r="Q121" s="9">
        <v>0</v>
      </c>
      <c r="R121" s="17">
        <f>IF(Table2[[#This Row],[Etest_P]]&gt;90,Table2[[#This Row],[Adjusted Salary ]]+(Table2[[#This Row],[Adjusted Salary ]]*5%),Table2[[#This Row],[Adjusted Salary ]])</f>
        <v>0</v>
      </c>
    </row>
    <row r="122" spans="1:18">
      <c r="A122" s="3">
        <v>28</v>
      </c>
      <c r="B122" s="3" t="s">
        <v>29</v>
      </c>
      <c r="C122" s="4">
        <v>63</v>
      </c>
      <c r="D122" s="3" t="s">
        <v>0</v>
      </c>
      <c r="E122" s="5">
        <v>67</v>
      </c>
      <c r="F122" s="3" t="s">
        <v>0</v>
      </c>
      <c r="G122" s="3" t="s">
        <v>1</v>
      </c>
      <c r="H122" s="4">
        <v>66</v>
      </c>
      <c r="I122" s="3" t="s">
        <v>11</v>
      </c>
      <c r="J122" s="3" t="s">
        <v>3</v>
      </c>
      <c r="K122" s="4">
        <v>68</v>
      </c>
      <c r="L122" s="3" t="s">
        <v>4</v>
      </c>
      <c r="M122" s="4">
        <v>57.69</v>
      </c>
      <c r="N122" s="4" t="str">
        <f t="shared" si="1"/>
        <v>Pass</v>
      </c>
      <c r="O122" s="6" t="s">
        <v>5</v>
      </c>
      <c r="P122" s="6" t="str">
        <f>IF(AND(Table2[[#This Row],[Workex]]="Yes",Table2[[#This Row],[Degree_P]]&gt;70%),"High Priority", "Standard")</f>
        <v>Standard</v>
      </c>
      <c r="Q122" s="9">
        <v>265000</v>
      </c>
      <c r="R122" s="17">
        <f>IF(Table2[[#This Row],[Etest_P]]&gt;90,Table2[[#This Row],[Adjusted Salary ]]+(Table2[[#This Row],[Adjusted Salary ]]*5%),Table2[[#This Row],[Adjusted Salary ]])</f>
        <v>265000</v>
      </c>
    </row>
    <row r="123" spans="1:18">
      <c r="A123" s="6">
        <v>47</v>
      </c>
      <c r="B123" s="6" t="s">
        <v>30</v>
      </c>
      <c r="C123" s="7">
        <v>70.89</v>
      </c>
      <c r="D123" s="6" t="s">
        <v>0</v>
      </c>
      <c r="E123" s="8">
        <v>71.98</v>
      </c>
      <c r="F123" s="6" t="s">
        <v>0</v>
      </c>
      <c r="G123" s="6" t="s">
        <v>7</v>
      </c>
      <c r="H123" s="7">
        <v>65.599999999999994</v>
      </c>
      <c r="I123" s="6" t="s">
        <v>11</v>
      </c>
      <c r="J123" s="6" t="s">
        <v>3</v>
      </c>
      <c r="K123" s="7">
        <v>68</v>
      </c>
      <c r="L123" s="6" t="s">
        <v>4</v>
      </c>
      <c r="M123" s="7">
        <v>71.63</v>
      </c>
      <c r="N123" s="7" t="str">
        <f t="shared" si="1"/>
        <v>First Class</v>
      </c>
      <c r="O123" s="6" t="s">
        <v>12</v>
      </c>
      <c r="P123" s="6" t="str">
        <f>IF(AND(Table2[[#This Row],[Workex]]="Yes",Table2[[#This Row],[Degree_P]]&gt;70%),"High Priority", "Standard")</f>
        <v>Standard</v>
      </c>
      <c r="Q123" s="10">
        <v>0</v>
      </c>
      <c r="R123" s="17">
        <f>IF(Table2[[#This Row],[Etest_P]]&gt;90,Table2[[#This Row],[Adjusted Salary ]]+(Table2[[#This Row],[Adjusted Salary ]]*5%),Table2[[#This Row],[Adjusted Salary ]])</f>
        <v>0</v>
      </c>
    </row>
    <row r="124" spans="1:18">
      <c r="A124" s="6">
        <v>57</v>
      </c>
      <c r="B124" s="6" t="s">
        <v>29</v>
      </c>
      <c r="C124" s="7">
        <v>63</v>
      </c>
      <c r="D124" s="6" t="s">
        <v>0</v>
      </c>
      <c r="E124" s="8">
        <v>71.400000000000006</v>
      </c>
      <c r="F124" s="6" t="s">
        <v>0</v>
      </c>
      <c r="G124" s="6" t="s">
        <v>1</v>
      </c>
      <c r="H124" s="7">
        <v>61.4</v>
      </c>
      <c r="I124" s="6" t="s">
        <v>11</v>
      </c>
      <c r="J124" s="6" t="s">
        <v>3</v>
      </c>
      <c r="K124" s="7">
        <v>68</v>
      </c>
      <c r="L124" s="6" t="s">
        <v>9</v>
      </c>
      <c r="M124" s="7">
        <v>66.88</v>
      </c>
      <c r="N124" s="7" t="str">
        <f t="shared" si="1"/>
        <v>First Class</v>
      </c>
      <c r="O124" s="6" t="s">
        <v>5</v>
      </c>
      <c r="P124" s="6" t="str">
        <f>IF(AND(Table2[[#This Row],[Workex]]="Yes",Table2[[#This Row],[Degree_P]]&gt;70%),"High Priority", "Standard")</f>
        <v>Standard</v>
      </c>
      <c r="Q124" s="10">
        <v>240000</v>
      </c>
      <c r="R124" s="17">
        <f>IF(Table2[[#This Row],[Etest_P]]&gt;90,Table2[[#This Row],[Adjusted Salary ]]+(Table2[[#This Row],[Adjusted Salary ]]*5%),Table2[[#This Row],[Adjusted Salary ]])</f>
        <v>240000</v>
      </c>
    </row>
    <row r="125" spans="1:18">
      <c r="A125" s="3">
        <v>8</v>
      </c>
      <c r="B125" s="3" t="s">
        <v>29</v>
      </c>
      <c r="C125" s="4">
        <v>82</v>
      </c>
      <c r="D125" s="3" t="s">
        <v>6</v>
      </c>
      <c r="E125" s="5">
        <v>64</v>
      </c>
      <c r="F125" s="3" t="s">
        <v>6</v>
      </c>
      <c r="G125" s="3" t="s">
        <v>7</v>
      </c>
      <c r="H125" s="4">
        <v>66</v>
      </c>
      <c r="I125" s="3" t="s">
        <v>2</v>
      </c>
      <c r="J125" s="3" t="s">
        <v>8</v>
      </c>
      <c r="K125" s="4">
        <v>67</v>
      </c>
      <c r="L125" s="3" t="s">
        <v>9</v>
      </c>
      <c r="M125" s="4">
        <v>62.14</v>
      </c>
      <c r="N125" s="4" t="str">
        <f t="shared" si="1"/>
        <v>First Class</v>
      </c>
      <c r="O125" s="6" t="s">
        <v>5</v>
      </c>
      <c r="P125" s="6" t="str">
        <f>IF(AND(Table2[[#This Row],[Workex]]="Yes",Table2[[#This Row],[Degree_P]]&gt;70%),"High Priority", "Standard")</f>
        <v>High Priority</v>
      </c>
      <c r="Q125" s="9">
        <v>252000</v>
      </c>
      <c r="R125" s="17">
        <f>IF(Table2[[#This Row],[Etest_P]]&gt;90,Table2[[#This Row],[Adjusted Salary ]]+(Table2[[#This Row],[Adjusted Salary ]]*5%),Table2[[#This Row],[Adjusted Salary ]])</f>
        <v>252000</v>
      </c>
    </row>
    <row r="126" spans="1:18">
      <c r="A126" s="3">
        <v>52</v>
      </c>
      <c r="B126" s="3" t="s">
        <v>29</v>
      </c>
      <c r="C126" s="4">
        <v>54.4</v>
      </c>
      <c r="D126" s="3" t="s">
        <v>6</v>
      </c>
      <c r="E126" s="5">
        <v>61.12</v>
      </c>
      <c r="F126" s="3" t="s">
        <v>6</v>
      </c>
      <c r="G126" s="3" t="s">
        <v>1</v>
      </c>
      <c r="H126" s="4">
        <v>56.2</v>
      </c>
      <c r="I126" s="3" t="s">
        <v>11</v>
      </c>
      <c r="J126" s="3" t="s">
        <v>3</v>
      </c>
      <c r="K126" s="4">
        <v>67</v>
      </c>
      <c r="L126" s="3" t="s">
        <v>4</v>
      </c>
      <c r="M126" s="4">
        <v>62.65</v>
      </c>
      <c r="N126" s="4" t="str">
        <f t="shared" si="1"/>
        <v>First Class</v>
      </c>
      <c r="O126" s="6" t="s">
        <v>12</v>
      </c>
      <c r="P126" s="6" t="str">
        <f>IF(AND(Table2[[#This Row],[Workex]]="Yes",Table2[[#This Row],[Degree_P]]&gt;70%),"High Priority", "Standard")</f>
        <v>Standard</v>
      </c>
      <c r="Q126" s="9">
        <v>0</v>
      </c>
      <c r="R126" s="17">
        <f>IF(Table2[[#This Row],[Etest_P]]&gt;90,Table2[[#This Row],[Adjusted Salary ]]+(Table2[[#This Row],[Adjusted Salary ]]*5%),Table2[[#This Row],[Adjusted Salary ]])</f>
        <v>0</v>
      </c>
    </row>
    <row r="127" spans="1:18">
      <c r="A127" s="3">
        <v>81</v>
      </c>
      <c r="B127" s="3" t="s">
        <v>30</v>
      </c>
      <c r="C127" s="4">
        <v>69</v>
      </c>
      <c r="D127" s="3" t="s">
        <v>0</v>
      </c>
      <c r="E127" s="5">
        <v>62</v>
      </c>
      <c r="F127" s="3" t="s">
        <v>0</v>
      </c>
      <c r="G127" s="3" t="s">
        <v>1</v>
      </c>
      <c r="H127" s="4">
        <v>69</v>
      </c>
      <c r="I127" s="3" t="s">
        <v>11</v>
      </c>
      <c r="J127" s="3" t="s">
        <v>8</v>
      </c>
      <c r="K127" s="4">
        <v>67</v>
      </c>
      <c r="L127" s="3" t="s">
        <v>4</v>
      </c>
      <c r="M127" s="4">
        <v>62.35</v>
      </c>
      <c r="N127" s="4" t="str">
        <f t="shared" si="1"/>
        <v>First Class</v>
      </c>
      <c r="O127" s="6" t="s">
        <v>5</v>
      </c>
      <c r="P127" s="6" t="str">
        <f>IF(AND(Table2[[#This Row],[Workex]]="Yes",Table2[[#This Row],[Degree_P]]&gt;70%),"High Priority", "Standard")</f>
        <v>High Priority</v>
      </c>
      <c r="Q127" s="9">
        <v>240000</v>
      </c>
      <c r="R127" s="17">
        <f>IF(Table2[[#This Row],[Etest_P]]&gt;90,Table2[[#This Row],[Adjusted Salary ]]+(Table2[[#This Row],[Adjusted Salary ]]*5%),Table2[[#This Row],[Adjusted Salary ]])</f>
        <v>240000</v>
      </c>
    </row>
    <row r="128" spans="1:18">
      <c r="A128" s="6">
        <v>87</v>
      </c>
      <c r="B128" s="6" t="s">
        <v>29</v>
      </c>
      <c r="C128" s="7">
        <v>62</v>
      </c>
      <c r="D128" s="6" t="s">
        <v>0</v>
      </c>
      <c r="E128" s="8">
        <v>63</v>
      </c>
      <c r="F128" s="6" t="s">
        <v>0</v>
      </c>
      <c r="G128" s="6" t="s">
        <v>1</v>
      </c>
      <c r="H128" s="7">
        <v>64</v>
      </c>
      <c r="I128" s="6" t="s">
        <v>11</v>
      </c>
      <c r="J128" s="6" t="s">
        <v>3</v>
      </c>
      <c r="K128" s="7">
        <v>67</v>
      </c>
      <c r="L128" s="6" t="s">
        <v>9</v>
      </c>
      <c r="M128" s="7">
        <v>57.03</v>
      </c>
      <c r="N128" s="7" t="str">
        <f t="shared" si="1"/>
        <v>Pass</v>
      </c>
      <c r="O128" s="6" t="s">
        <v>5</v>
      </c>
      <c r="P128" s="6" t="str">
        <f>IF(AND(Table2[[#This Row],[Workex]]="Yes",Table2[[#This Row],[Degree_P]]&gt;70%),"High Priority", "Standard")</f>
        <v>Standard</v>
      </c>
      <c r="Q128" s="10">
        <v>220000</v>
      </c>
      <c r="R128" s="17">
        <f>IF(Table2[[#This Row],[Etest_P]]&gt;90,Table2[[#This Row],[Adjusted Salary ]]+(Table2[[#This Row],[Adjusted Salary ]]*5%),Table2[[#This Row],[Adjusted Salary ]])</f>
        <v>220000</v>
      </c>
    </row>
    <row r="129" spans="1:18">
      <c r="A129" s="3">
        <v>92</v>
      </c>
      <c r="B129" s="3" t="s">
        <v>29</v>
      </c>
      <c r="C129" s="4">
        <v>52</v>
      </c>
      <c r="D129" s="3" t="s">
        <v>6</v>
      </c>
      <c r="E129" s="5">
        <v>57</v>
      </c>
      <c r="F129" s="3" t="s">
        <v>6</v>
      </c>
      <c r="G129" s="3" t="s">
        <v>1</v>
      </c>
      <c r="H129" s="4">
        <v>50.8</v>
      </c>
      <c r="I129" s="3" t="s">
        <v>11</v>
      </c>
      <c r="J129" s="3" t="s">
        <v>3</v>
      </c>
      <c r="K129" s="4">
        <v>67</v>
      </c>
      <c r="L129" s="3" t="s">
        <v>4</v>
      </c>
      <c r="M129" s="4">
        <v>62.79</v>
      </c>
      <c r="N129" s="4" t="str">
        <f t="shared" si="1"/>
        <v>First Class</v>
      </c>
      <c r="O129" s="6" t="s">
        <v>12</v>
      </c>
      <c r="P129" s="6" t="str">
        <f>IF(AND(Table2[[#This Row],[Workex]]="Yes",Table2[[#This Row],[Degree_P]]&gt;70%),"High Priority", "Standard")</f>
        <v>Standard</v>
      </c>
      <c r="Q129" s="9">
        <v>0</v>
      </c>
      <c r="R129" s="17">
        <f>IF(Table2[[#This Row],[Etest_P]]&gt;90,Table2[[#This Row],[Adjusted Salary ]]+(Table2[[#This Row],[Adjusted Salary ]]*5%),Table2[[#This Row],[Adjusted Salary ]])</f>
        <v>0</v>
      </c>
    </row>
    <row r="130" spans="1:18">
      <c r="A130" s="6">
        <v>174</v>
      </c>
      <c r="B130" s="6" t="s">
        <v>30</v>
      </c>
      <c r="C130" s="7">
        <v>52</v>
      </c>
      <c r="D130" s="6" t="s">
        <v>0</v>
      </c>
      <c r="E130" s="8">
        <v>52</v>
      </c>
      <c r="F130" s="6" t="s">
        <v>0</v>
      </c>
      <c r="G130" s="6" t="s">
        <v>7</v>
      </c>
      <c r="H130" s="7">
        <v>55</v>
      </c>
      <c r="I130" s="6" t="s">
        <v>2</v>
      </c>
      <c r="J130" s="6" t="s">
        <v>3</v>
      </c>
      <c r="K130" s="7">
        <v>67</v>
      </c>
      <c r="L130" s="6" t="s">
        <v>4</v>
      </c>
      <c r="M130" s="7">
        <v>59.32</v>
      </c>
      <c r="N130" s="7" t="str">
        <f t="shared" ref="N130:N193" si="2">IF(M130&gt;75,"Distinction",IF(M130&gt;60,"First Class","Pass"))</f>
        <v>Pass</v>
      </c>
      <c r="O130" s="6" t="s">
        <v>12</v>
      </c>
      <c r="P130" s="6" t="str">
        <f>IF(AND(Table2[[#This Row],[Workex]]="Yes",Table2[[#This Row],[Degree_P]]&gt;70%),"High Priority", "Standard")</f>
        <v>Standard</v>
      </c>
      <c r="Q130" s="10">
        <v>0</v>
      </c>
      <c r="R130" s="17">
        <f>IF(Table2[[#This Row],[Etest_P]]&gt;90,Table2[[#This Row],[Adjusted Salary ]]+(Table2[[#This Row],[Adjusted Salary ]]*5%),Table2[[#This Row],[Adjusted Salary ]])</f>
        <v>0</v>
      </c>
    </row>
    <row r="131" spans="1:18">
      <c r="A131" s="3">
        <v>210</v>
      </c>
      <c r="B131" s="3" t="s">
        <v>29</v>
      </c>
      <c r="C131" s="4">
        <v>62</v>
      </c>
      <c r="D131" s="3" t="s">
        <v>6</v>
      </c>
      <c r="E131" s="5">
        <v>72</v>
      </c>
      <c r="F131" s="3" t="s">
        <v>6</v>
      </c>
      <c r="G131" s="3" t="s">
        <v>1</v>
      </c>
      <c r="H131" s="4">
        <v>65</v>
      </c>
      <c r="I131" s="3" t="s">
        <v>11</v>
      </c>
      <c r="J131" s="3" t="s">
        <v>3</v>
      </c>
      <c r="K131" s="4">
        <v>67</v>
      </c>
      <c r="L131" s="3" t="s">
        <v>9</v>
      </c>
      <c r="M131" s="4">
        <v>56.49</v>
      </c>
      <c r="N131" s="4" t="str">
        <f t="shared" si="2"/>
        <v>Pass</v>
      </c>
      <c r="O131" s="6" t="s">
        <v>5</v>
      </c>
      <c r="P131" s="6" t="str">
        <f>IF(AND(Table2[[#This Row],[Workex]]="Yes",Table2[[#This Row],[Degree_P]]&gt;70%),"High Priority", "Standard")</f>
        <v>Standard</v>
      </c>
      <c r="Q131" s="9">
        <v>216000</v>
      </c>
      <c r="R131" s="17">
        <f>IF(Table2[[#This Row],[Etest_P]]&gt;90,Table2[[#This Row],[Adjusted Salary ]]+(Table2[[#This Row],[Adjusted Salary ]]*5%),Table2[[#This Row],[Adjusted Salary ]])</f>
        <v>216000</v>
      </c>
    </row>
    <row r="132" spans="1:18">
      <c r="A132" s="3">
        <v>4</v>
      </c>
      <c r="B132" s="3" t="s">
        <v>29</v>
      </c>
      <c r="C132" s="4">
        <v>56</v>
      </c>
      <c r="D132" s="3" t="s">
        <v>6</v>
      </c>
      <c r="E132" s="5">
        <v>52</v>
      </c>
      <c r="F132" s="3" t="s">
        <v>6</v>
      </c>
      <c r="G132" s="3" t="s">
        <v>7</v>
      </c>
      <c r="H132" s="4">
        <v>52</v>
      </c>
      <c r="I132" s="3" t="s">
        <v>2</v>
      </c>
      <c r="J132" s="3" t="s">
        <v>3</v>
      </c>
      <c r="K132" s="4">
        <v>66</v>
      </c>
      <c r="L132" s="3" t="s">
        <v>4</v>
      </c>
      <c r="M132" s="4">
        <v>59.43</v>
      </c>
      <c r="N132" s="4" t="str">
        <f t="shared" si="2"/>
        <v>Pass</v>
      </c>
      <c r="O132" s="6" t="s">
        <v>12</v>
      </c>
      <c r="P132" s="6" t="str">
        <f>IF(AND(Table2[[#This Row],[Workex]]="Yes",Table2[[#This Row],[Degree_P]]&gt;70%),"High Priority", "Standard")</f>
        <v>Standard</v>
      </c>
      <c r="Q132" s="9">
        <v>0</v>
      </c>
      <c r="R132" s="17">
        <f>IF(Table2[[#This Row],[Etest_P]]&gt;90,Table2[[#This Row],[Adjusted Salary ]]+(Table2[[#This Row],[Adjusted Salary ]]*5%),Table2[[#This Row],[Adjusted Salary ]])</f>
        <v>0</v>
      </c>
    </row>
    <row r="133" spans="1:18">
      <c r="A133" s="3">
        <v>97</v>
      </c>
      <c r="B133" s="3" t="s">
        <v>30</v>
      </c>
      <c r="C133" s="4">
        <v>76</v>
      </c>
      <c r="D133" s="3" t="s">
        <v>6</v>
      </c>
      <c r="E133" s="5">
        <v>70</v>
      </c>
      <c r="F133" s="3" t="s">
        <v>6</v>
      </c>
      <c r="G133" s="3" t="s">
        <v>7</v>
      </c>
      <c r="H133" s="4">
        <v>76</v>
      </c>
      <c r="I133" s="3" t="s">
        <v>11</v>
      </c>
      <c r="J133" s="3" t="s">
        <v>8</v>
      </c>
      <c r="K133" s="4">
        <v>66</v>
      </c>
      <c r="L133" s="3" t="s">
        <v>9</v>
      </c>
      <c r="M133" s="4">
        <v>64.44</v>
      </c>
      <c r="N133" s="4" t="str">
        <f t="shared" si="2"/>
        <v>First Class</v>
      </c>
      <c r="O133" s="6" t="s">
        <v>5</v>
      </c>
      <c r="P133" s="6" t="str">
        <f>IF(AND(Table2[[#This Row],[Workex]]="Yes",Table2[[#This Row],[Degree_P]]&gt;70%),"High Priority", "Standard")</f>
        <v>High Priority</v>
      </c>
      <c r="Q133" s="9">
        <v>300000</v>
      </c>
      <c r="R133" s="17">
        <f>IF(Table2[[#This Row],[Etest_P]]&gt;90,Table2[[#This Row],[Adjusted Salary ]]+(Table2[[#This Row],[Adjusted Salary ]]*5%),Table2[[#This Row],[Adjusted Salary ]])</f>
        <v>300000</v>
      </c>
    </row>
    <row r="134" spans="1:18">
      <c r="A134" s="6">
        <v>204</v>
      </c>
      <c r="B134" s="6" t="s">
        <v>29</v>
      </c>
      <c r="C134" s="7">
        <v>55.68</v>
      </c>
      <c r="D134" s="6" t="s">
        <v>0</v>
      </c>
      <c r="E134" s="8">
        <v>61.33</v>
      </c>
      <c r="F134" s="6" t="s">
        <v>0</v>
      </c>
      <c r="G134" s="6" t="s">
        <v>1</v>
      </c>
      <c r="H134" s="7">
        <v>56.87</v>
      </c>
      <c r="I134" s="6" t="s">
        <v>11</v>
      </c>
      <c r="J134" s="6" t="s">
        <v>3</v>
      </c>
      <c r="K134" s="7">
        <v>66</v>
      </c>
      <c r="L134" s="6" t="s">
        <v>4</v>
      </c>
      <c r="M134" s="7">
        <v>58.3</v>
      </c>
      <c r="N134" s="7" t="str">
        <f t="shared" si="2"/>
        <v>Pass</v>
      </c>
      <c r="O134" s="6" t="s">
        <v>5</v>
      </c>
      <c r="P134" s="6" t="str">
        <f>IF(AND(Table2[[#This Row],[Workex]]="Yes",Table2[[#This Row],[Degree_P]]&gt;70%),"High Priority", "Standard")</f>
        <v>Standard</v>
      </c>
      <c r="Q134" s="10">
        <v>260000</v>
      </c>
      <c r="R134" s="17">
        <f>IF(Table2[[#This Row],[Etest_P]]&gt;90,Table2[[#This Row],[Adjusted Salary ]]+(Table2[[#This Row],[Adjusted Salary ]]*5%),Table2[[#This Row],[Adjusted Salary ]])</f>
        <v>260000</v>
      </c>
    </row>
    <row r="135" spans="1:18">
      <c r="A135" s="3">
        <v>42</v>
      </c>
      <c r="B135" s="3" t="s">
        <v>30</v>
      </c>
      <c r="C135" s="4">
        <v>74</v>
      </c>
      <c r="D135" s="3" t="s">
        <v>0</v>
      </c>
      <c r="E135" s="5">
        <v>63.16</v>
      </c>
      <c r="F135" s="3" t="s">
        <v>0</v>
      </c>
      <c r="G135" s="3" t="s">
        <v>1</v>
      </c>
      <c r="H135" s="4">
        <v>65</v>
      </c>
      <c r="I135" s="3" t="s">
        <v>11</v>
      </c>
      <c r="J135" s="3" t="s">
        <v>8</v>
      </c>
      <c r="K135" s="4">
        <v>65</v>
      </c>
      <c r="L135" s="3" t="s">
        <v>4</v>
      </c>
      <c r="M135" s="4">
        <v>69.760000000000005</v>
      </c>
      <c r="N135" s="4" t="str">
        <f t="shared" si="2"/>
        <v>First Class</v>
      </c>
      <c r="O135" s="6" t="s">
        <v>12</v>
      </c>
      <c r="P135" s="6" t="str">
        <f>IF(AND(Table2[[#This Row],[Workex]]="Yes",Table2[[#This Row],[Degree_P]]&gt;70%),"High Priority", "Standard")</f>
        <v>High Priority</v>
      </c>
      <c r="Q135" s="9">
        <v>0</v>
      </c>
      <c r="R135" s="17">
        <f>IF(Table2[[#This Row],[Etest_P]]&gt;90,Table2[[#This Row],[Adjusted Salary ]]+(Table2[[#This Row],[Adjusted Salary ]]*5%),Table2[[#This Row],[Adjusted Salary ]])</f>
        <v>0</v>
      </c>
    </row>
    <row r="136" spans="1:18">
      <c r="A136" s="3">
        <v>50</v>
      </c>
      <c r="B136" s="3" t="s">
        <v>30</v>
      </c>
      <c r="C136" s="4">
        <v>50</v>
      </c>
      <c r="D136" s="3" t="s">
        <v>0</v>
      </c>
      <c r="E136" s="5">
        <v>37</v>
      </c>
      <c r="F136" s="3" t="s">
        <v>0</v>
      </c>
      <c r="G136" s="3" t="s">
        <v>10</v>
      </c>
      <c r="H136" s="4">
        <v>52</v>
      </c>
      <c r="I136" s="3" t="s">
        <v>0</v>
      </c>
      <c r="J136" s="3" t="s">
        <v>3</v>
      </c>
      <c r="K136" s="4">
        <v>65</v>
      </c>
      <c r="L136" s="3" t="s">
        <v>4</v>
      </c>
      <c r="M136" s="4">
        <v>56.11</v>
      </c>
      <c r="N136" s="4" t="str">
        <f t="shared" si="2"/>
        <v>Pass</v>
      </c>
      <c r="O136" s="6" t="s">
        <v>12</v>
      </c>
      <c r="P136" s="6" t="str">
        <f>IF(AND(Table2[[#This Row],[Workex]]="Yes",Table2[[#This Row],[Degree_P]]&gt;70%),"High Priority", "Standard")</f>
        <v>Standard</v>
      </c>
      <c r="Q136" s="9">
        <v>0</v>
      </c>
      <c r="R136" s="17">
        <f>IF(Table2[[#This Row],[Etest_P]]&gt;90,Table2[[#This Row],[Adjusted Salary ]]+(Table2[[#This Row],[Adjusted Salary ]]*5%),Table2[[#This Row],[Adjusted Salary ]])</f>
        <v>0</v>
      </c>
    </row>
    <row r="137" spans="1:18">
      <c r="A137" s="6">
        <v>51</v>
      </c>
      <c r="B137" s="6" t="s">
        <v>30</v>
      </c>
      <c r="C137" s="7">
        <v>75.2</v>
      </c>
      <c r="D137" s="6" t="s">
        <v>6</v>
      </c>
      <c r="E137" s="8">
        <v>73.2</v>
      </c>
      <c r="F137" s="6" t="s">
        <v>6</v>
      </c>
      <c r="G137" s="6" t="s">
        <v>7</v>
      </c>
      <c r="H137" s="7">
        <v>68.400000000000006</v>
      </c>
      <c r="I137" s="6" t="s">
        <v>11</v>
      </c>
      <c r="J137" s="6" t="s">
        <v>3</v>
      </c>
      <c r="K137" s="7">
        <v>65</v>
      </c>
      <c r="L137" s="6" t="s">
        <v>4</v>
      </c>
      <c r="M137" s="7">
        <v>62.98</v>
      </c>
      <c r="N137" s="7" t="str">
        <f t="shared" si="2"/>
        <v>First Class</v>
      </c>
      <c r="O137" s="6" t="s">
        <v>5</v>
      </c>
      <c r="P137" s="6" t="str">
        <f>IF(AND(Table2[[#This Row],[Workex]]="Yes",Table2[[#This Row],[Degree_P]]&gt;70%),"High Priority", "Standard")</f>
        <v>Standard</v>
      </c>
      <c r="Q137" s="10">
        <v>200000</v>
      </c>
      <c r="R137" s="17">
        <f>IF(Table2[[#This Row],[Etest_P]]&gt;90,Table2[[#This Row],[Adjusted Salary ]]+(Table2[[#This Row],[Adjusted Salary ]]*5%),Table2[[#This Row],[Adjusted Salary ]])</f>
        <v>200000</v>
      </c>
    </row>
    <row r="138" spans="1:18">
      <c r="A138" s="3">
        <v>134</v>
      </c>
      <c r="B138" s="3" t="s">
        <v>29</v>
      </c>
      <c r="C138" s="4">
        <v>73</v>
      </c>
      <c r="D138" s="3" t="s">
        <v>6</v>
      </c>
      <c r="E138" s="5">
        <v>64</v>
      </c>
      <c r="F138" s="3" t="s">
        <v>0</v>
      </c>
      <c r="G138" s="3" t="s">
        <v>1</v>
      </c>
      <c r="H138" s="4">
        <v>77</v>
      </c>
      <c r="I138" s="3" t="s">
        <v>11</v>
      </c>
      <c r="J138" s="3" t="s">
        <v>8</v>
      </c>
      <c r="K138" s="4">
        <v>65</v>
      </c>
      <c r="L138" s="3" t="s">
        <v>4</v>
      </c>
      <c r="M138" s="4">
        <v>60.98</v>
      </c>
      <c r="N138" s="4" t="str">
        <f t="shared" si="2"/>
        <v>First Class</v>
      </c>
      <c r="O138" s="6" t="s">
        <v>5</v>
      </c>
      <c r="P138" s="6" t="str">
        <f>IF(AND(Table2[[#This Row],[Workex]]="Yes",Table2[[#This Row],[Degree_P]]&gt;70%),"High Priority", "Standard")</f>
        <v>High Priority</v>
      </c>
      <c r="Q138" s="9">
        <v>250000</v>
      </c>
      <c r="R138" s="17">
        <f>IF(Table2[[#This Row],[Etest_P]]&gt;90,Table2[[#This Row],[Adjusted Salary ]]+(Table2[[#This Row],[Adjusted Salary ]]*5%),Table2[[#This Row],[Adjusted Salary ]])</f>
        <v>250000</v>
      </c>
    </row>
    <row r="139" spans="1:18">
      <c r="A139" s="3">
        <v>150</v>
      </c>
      <c r="B139" s="3" t="s">
        <v>29</v>
      </c>
      <c r="C139" s="4">
        <v>44</v>
      </c>
      <c r="D139" s="3" t="s">
        <v>6</v>
      </c>
      <c r="E139" s="5">
        <v>58</v>
      </c>
      <c r="F139" s="3" t="s">
        <v>6</v>
      </c>
      <c r="G139" s="3" t="s">
        <v>10</v>
      </c>
      <c r="H139" s="4">
        <v>55</v>
      </c>
      <c r="I139" s="3" t="s">
        <v>11</v>
      </c>
      <c r="J139" s="3" t="s">
        <v>8</v>
      </c>
      <c r="K139" s="4">
        <v>64.25</v>
      </c>
      <c r="L139" s="3" t="s">
        <v>4</v>
      </c>
      <c r="M139" s="4">
        <v>58.54</v>
      </c>
      <c r="N139" s="4" t="str">
        <f t="shared" si="2"/>
        <v>Pass</v>
      </c>
      <c r="O139" s="6" t="s">
        <v>12</v>
      </c>
      <c r="P139" s="6" t="str">
        <f>IF(AND(Table2[[#This Row],[Workex]]="Yes",Table2[[#This Row],[Degree_P]]&gt;70%),"High Priority", "Standard")</f>
        <v>High Priority</v>
      </c>
      <c r="Q139" s="9">
        <v>0</v>
      </c>
      <c r="R139" s="17">
        <f>IF(Table2[[#This Row],[Etest_P]]&gt;90,Table2[[#This Row],[Adjusted Salary ]]+(Table2[[#This Row],[Adjusted Salary ]]*5%),Table2[[#This Row],[Adjusted Salary ]])</f>
        <v>0</v>
      </c>
    </row>
    <row r="140" spans="1:18">
      <c r="A140" s="6">
        <v>32</v>
      </c>
      <c r="B140" s="6" t="s">
        <v>30</v>
      </c>
      <c r="C140" s="7">
        <v>67</v>
      </c>
      <c r="D140" s="6" t="s">
        <v>6</v>
      </c>
      <c r="E140" s="8">
        <v>53</v>
      </c>
      <c r="F140" s="6" t="s">
        <v>6</v>
      </c>
      <c r="G140" s="6" t="s">
        <v>7</v>
      </c>
      <c r="H140" s="7">
        <v>65</v>
      </c>
      <c r="I140" s="6" t="s">
        <v>2</v>
      </c>
      <c r="J140" s="6" t="s">
        <v>3</v>
      </c>
      <c r="K140" s="7">
        <v>64</v>
      </c>
      <c r="L140" s="6" t="s">
        <v>4</v>
      </c>
      <c r="M140" s="7">
        <v>58.32</v>
      </c>
      <c r="N140" s="7" t="str">
        <f t="shared" si="2"/>
        <v>Pass</v>
      </c>
      <c r="O140" s="6" t="s">
        <v>12</v>
      </c>
      <c r="P140" s="6" t="str">
        <f>IF(AND(Table2[[#This Row],[Workex]]="Yes",Table2[[#This Row],[Degree_P]]&gt;70%),"High Priority", "Standard")</f>
        <v>Standard</v>
      </c>
      <c r="Q140" s="10">
        <v>0</v>
      </c>
      <c r="R140" s="17">
        <f>IF(Table2[[#This Row],[Etest_P]]&gt;90,Table2[[#This Row],[Adjusted Salary ]]+(Table2[[#This Row],[Adjusted Salary ]]*5%),Table2[[#This Row],[Adjusted Salary ]])</f>
        <v>0</v>
      </c>
    </row>
    <row r="141" spans="1:18">
      <c r="A141" s="6">
        <v>37</v>
      </c>
      <c r="B141" s="6" t="s">
        <v>29</v>
      </c>
      <c r="C141" s="7">
        <v>51</v>
      </c>
      <c r="D141" s="6" t="s">
        <v>6</v>
      </c>
      <c r="E141" s="8">
        <v>44</v>
      </c>
      <c r="F141" s="6" t="s">
        <v>6</v>
      </c>
      <c r="G141" s="6" t="s">
        <v>1</v>
      </c>
      <c r="H141" s="7">
        <v>57</v>
      </c>
      <c r="I141" s="6" t="s">
        <v>11</v>
      </c>
      <c r="J141" s="6" t="s">
        <v>3</v>
      </c>
      <c r="K141" s="7">
        <v>64</v>
      </c>
      <c r="L141" s="6" t="s">
        <v>9</v>
      </c>
      <c r="M141" s="7">
        <v>51.45</v>
      </c>
      <c r="N141" s="7" t="str">
        <f t="shared" si="2"/>
        <v>Pass</v>
      </c>
      <c r="O141" s="6" t="s">
        <v>12</v>
      </c>
      <c r="P141" s="6" t="str">
        <f>IF(AND(Table2[[#This Row],[Workex]]="Yes",Table2[[#This Row],[Degree_P]]&gt;70%),"High Priority", "Standard")</f>
        <v>Standard</v>
      </c>
      <c r="Q141" s="10">
        <v>0</v>
      </c>
      <c r="R141" s="17">
        <f>IF(Table2[[#This Row],[Etest_P]]&gt;90,Table2[[#This Row],[Adjusted Salary ]]+(Table2[[#This Row],[Adjusted Salary ]]*5%),Table2[[#This Row],[Adjusted Salary ]])</f>
        <v>0</v>
      </c>
    </row>
    <row r="142" spans="1:18">
      <c r="A142" s="6">
        <v>49</v>
      </c>
      <c r="B142" s="6" t="s">
        <v>29</v>
      </c>
      <c r="C142" s="7">
        <v>63</v>
      </c>
      <c r="D142" s="6" t="s">
        <v>0</v>
      </c>
      <c r="E142" s="8">
        <v>62</v>
      </c>
      <c r="F142" s="6" t="s">
        <v>0</v>
      </c>
      <c r="G142" s="6" t="s">
        <v>1</v>
      </c>
      <c r="H142" s="7">
        <v>68</v>
      </c>
      <c r="I142" s="6" t="s">
        <v>11</v>
      </c>
      <c r="J142" s="6" t="s">
        <v>3</v>
      </c>
      <c r="K142" s="7">
        <v>64</v>
      </c>
      <c r="L142" s="6" t="s">
        <v>9</v>
      </c>
      <c r="M142" s="7">
        <v>62.46</v>
      </c>
      <c r="N142" s="7" t="str">
        <f t="shared" si="2"/>
        <v>First Class</v>
      </c>
      <c r="O142" s="6" t="s">
        <v>5</v>
      </c>
      <c r="P142" s="6" t="str">
        <f>IF(AND(Table2[[#This Row],[Workex]]="Yes",Table2[[#This Row],[Degree_P]]&gt;70%),"High Priority", "Standard")</f>
        <v>Standard</v>
      </c>
      <c r="Q142" s="10">
        <v>250000</v>
      </c>
      <c r="R142" s="17">
        <f>IF(Table2[[#This Row],[Etest_P]]&gt;90,Table2[[#This Row],[Adjusted Salary ]]+(Table2[[#This Row],[Adjusted Salary ]]*5%),Table2[[#This Row],[Adjusted Salary ]])</f>
        <v>250000</v>
      </c>
    </row>
    <row r="143" spans="1:18">
      <c r="A143" s="3">
        <v>125</v>
      </c>
      <c r="B143" s="3" t="s">
        <v>29</v>
      </c>
      <c r="C143" s="4">
        <v>67</v>
      </c>
      <c r="D143" s="3" t="s">
        <v>6</v>
      </c>
      <c r="E143" s="5">
        <v>71</v>
      </c>
      <c r="F143" s="3" t="s">
        <v>6</v>
      </c>
      <c r="G143" s="3" t="s">
        <v>7</v>
      </c>
      <c r="H143" s="4">
        <v>64.33</v>
      </c>
      <c r="I143" s="3" t="s">
        <v>0</v>
      </c>
      <c r="J143" s="3" t="s">
        <v>8</v>
      </c>
      <c r="K143" s="4">
        <v>64</v>
      </c>
      <c r="L143" s="3" t="s">
        <v>4</v>
      </c>
      <c r="M143" s="4">
        <v>61.26</v>
      </c>
      <c r="N143" s="4" t="str">
        <f t="shared" si="2"/>
        <v>First Class</v>
      </c>
      <c r="O143" s="6" t="s">
        <v>5</v>
      </c>
      <c r="P143" s="6" t="str">
        <f>IF(AND(Table2[[#This Row],[Workex]]="Yes",Table2[[#This Row],[Degree_P]]&gt;70%),"High Priority", "Standard")</f>
        <v>High Priority</v>
      </c>
      <c r="Q143" s="9">
        <v>250000</v>
      </c>
      <c r="R143" s="17">
        <f>IF(Table2[[#This Row],[Etest_P]]&gt;90,Table2[[#This Row],[Adjusted Salary ]]+(Table2[[#This Row],[Adjusted Salary ]]*5%),Table2[[#This Row],[Adjusted Salary ]])</f>
        <v>250000</v>
      </c>
    </row>
    <row r="144" spans="1:18">
      <c r="A144" s="3">
        <v>175</v>
      </c>
      <c r="B144" s="3" t="s">
        <v>29</v>
      </c>
      <c r="C144" s="4">
        <v>73.239999999999995</v>
      </c>
      <c r="D144" s="3" t="s">
        <v>0</v>
      </c>
      <c r="E144" s="5">
        <v>50.83</v>
      </c>
      <c r="F144" s="3" t="s">
        <v>0</v>
      </c>
      <c r="G144" s="3" t="s">
        <v>7</v>
      </c>
      <c r="H144" s="4">
        <v>64.27</v>
      </c>
      <c r="I144" s="3" t="s">
        <v>2</v>
      </c>
      <c r="J144" s="3" t="s">
        <v>8</v>
      </c>
      <c r="K144" s="4">
        <v>64</v>
      </c>
      <c r="L144" s="3" t="s">
        <v>9</v>
      </c>
      <c r="M144" s="4">
        <v>66.23</v>
      </c>
      <c r="N144" s="4" t="str">
        <f t="shared" si="2"/>
        <v>First Class</v>
      </c>
      <c r="O144" s="6" t="s">
        <v>5</v>
      </c>
      <c r="P144" s="6" t="str">
        <f>IF(AND(Table2[[#This Row],[Workex]]="Yes",Table2[[#This Row],[Degree_P]]&gt;70%),"High Priority", "Standard")</f>
        <v>High Priority</v>
      </c>
      <c r="Q144" s="9">
        <v>500000</v>
      </c>
      <c r="R144" s="17">
        <f>IF(Table2[[#This Row],[Etest_P]]&gt;90,Table2[[#This Row],[Adjusted Salary ]]+(Table2[[#This Row],[Adjusted Salary ]]*5%),Table2[[#This Row],[Adjusted Salary ]])</f>
        <v>500000</v>
      </c>
    </row>
    <row r="145" spans="1:18">
      <c r="A145" s="3">
        <v>172</v>
      </c>
      <c r="B145" s="3" t="s">
        <v>29</v>
      </c>
      <c r="C145" s="4">
        <v>80</v>
      </c>
      <c r="D145" s="3" t="s">
        <v>0</v>
      </c>
      <c r="E145" s="5">
        <v>80</v>
      </c>
      <c r="F145" s="3" t="s">
        <v>0</v>
      </c>
      <c r="G145" s="3" t="s">
        <v>1</v>
      </c>
      <c r="H145" s="4">
        <v>72</v>
      </c>
      <c r="I145" s="3" t="s">
        <v>11</v>
      </c>
      <c r="J145" s="3" t="s">
        <v>8</v>
      </c>
      <c r="K145" s="4">
        <v>63.79</v>
      </c>
      <c r="L145" s="3" t="s">
        <v>9</v>
      </c>
      <c r="M145" s="4">
        <v>66.040000000000006</v>
      </c>
      <c r="N145" s="4" t="str">
        <f t="shared" si="2"/>
        <v>First Class</v>
      </c>
      <c r="O145" s="6" t="s">
        <v>5</v>
      </c>
      <c r="P145" s="6" t="str">
        <f>IF(AND(Table2[[#This Row],[Workex]]="Yes",Table2[[#This Row],[Degree_P]]&gt;70%),"High Priority", "Standard")</f>
        <v>High Priority</v>
      </c>
      <c r="Q145" s="9">
        <v>290000</v>
      </c>
      <c r="R145" s="17">
        <f>IF(Table2[[#This Row],[Etest_P]]&gt;90,Table2[[#This Row],[Adjusted Salary ]]+(Table2[[#This Row],[Adjusted Salary ]]*5%),Table2[[#This Row],[Adjusted Salary ]])</f>
        <v>290000</v>
      </c>
    </row>
    <row r="146" spans="1:18">
      <c r="A146" s="6">
        <v>43</v>
      </c>
      <c r="B146" s="6" t="s">
        <v>29</v>
      </c>
      <c r="C146" s="7">
        <v>49</v>
      </c>
      <c r="D146" s="6" t="s">
        <v>0</v>
      </c>
      <c r="E146" s="8">
        <v>39</v>
      </c>
      <c r="F146" s="6" t="s">
        <v>6</v>
      </c>
      <c r="G146" s="6" t="s">
        <v>7</v>
      </c>
      <c r="H146" s="7">
        <v>65</v>
      </c>
      <c r="I146" s="6" t="s">
        <v>0</v>
      </c>
      <c r="J146" s="6" t="s">
        <v>3</v>
      </c>
      <c r="K146" s="7">
        <v>63</v>
      </c>
      <c r="L146" s="6" t="s">
        <v>9</v>
      </c>
      <c r="M146" s="7">
        <v>51.21</v>
      </c>
      <c r="N146" s="7" t="str">
        <f t="shared" si="2"/>
        <v>Pass</v>
      </c>
      <c r="O146" s="6" t="s">
        <v>12</v>
      </c>
      <c r="P146" s="6" t="str">
        <f>IF(AND(Table2[[#This Row],[Workex]]="Yes",Table2[[#This Row],[Degree_P]]&gt;70%),"High Priority", "Standard")</f>
        <v>Standard</v>
      </c>
      <c r="Q146" s="10">
        <v>0</v>
      </c>
      <c r="R146" s="17">
        <f>IF(Table2[[#This Row],[Etest_P]]&gt;90,Table2[[#This Row],[Adjusted Salary ]]+(Table2[[#This Row],[Adjusted Salary ]]*5%),Table2[[#This Row],[Adjusted Salary ]])</f>
        <v>0</v>
      </c>
    </row>
    <row r="147" spans="1:18">
      <c r="A147" s="6">
        <v>167</v>
      </c>
      <c r="B147" s="6" t="s">
        <v>29</v>
      </c>
      <c r="C147" s="7">
        <v>62</v>
      </c>
      <c r="D147" s="6" t="s">
        <v>0</v>
      </c>
      <c r="E147" s="8">
        <v>62</v>
      </c>
      <c r="F147" s="6" t="s">
        <v>0</v>
      </c>
      <c r="G147" s="6" t="s">
        <v>1</v>
      </c>
      <c r="H147" s="7">
        <v>60</v>
      </c>
      <c r="I147" s="6" t="s">
        <v>11</v>
      </c>
      <c r="J147" s="6" t="s">
        <v>8</v>
      </c>
      <c r="K147" s="7">
        <v>63</v>
      </c>
      <c r="L147" s="6" t="s">
        <v>4</v>
      </c>
      <c r="M147" s="7">
        <v>52.38</v>
      </c>
      <c r="N147" s="7" t="str">
        <f t="shared" si="2"/>
        <v>Pass</v>
      </c>
      <c r="O147" s="6" t="s">
        <v>5</v>
      </c>
      <c r="P147" s="6" t="str">
        <f>IF(AND(Table2[[#This Row],[Workex]]="Yes",Table2[[#This Row],[Degree_P]]&gt;70%),"High Priority", "Standard")</f>
        <v>High Priority</v>
      </c>
      <c r="Q147" s="10">
        <v>240000</v>
      </c>
      <c r="R147" s="17">
        <f>IF(Table2[[#This Row],[Etest_P]]&gt;90,Table2[[#This Row],[Adjusted Salary ]]+(Table2[[#This Row],[Adjusted Salary ]]*5%),Table2[[#This Row],[Adjusted Salary ]])</f>
        <v>240000</v>
      </c>
    </row>
    <row r="148" spans="1:18">
      <c r="A148" s="6">
        <v>182</v>
      </c>
      <c r="B148" s="6" t="s">
        <v>29</v>
      </c>
      <c r="C148" s="7">
        <v>62</v>
      </c>
      <c r="D148" s="6" t="s">
        <v>6</v>
      </c>
      <c r="E148" s="8">
        <v>60.33</v>
      </c>
      <c r="F148" s="6" t="s">
        <v>0</v>
      </c>
      <c r="G148" s="6" t="s">
        <v>7</v>
      </c>
      <c r="H148" s="7">
        <v>64.209999999999994</v>
      </c>
      <c r="I148" s="6" t="s">
        <v>2</v>
      </c>
      <c r="J148" s="6" t="s">
        <v>3</v>
      </c>
      <c r="K148" s="7">
        <v>63</v>
      </c>
      <c r="L148" s="6" t="s">
        <v>4</v>
      </c>
      <c r="M148" s="7">
        <v>60.02</v>
      </c>
      <c r="N148" s="7" t="str">
        <f t="shared" si="2"/>
        <v>First Class</v>
      </c>
      <c r="O148" s="6" t="s">
        <v>12</v>
      </c>
      <c r="P148" s="6" t="str">
        <f>IF(AND(Table2[[#This Row],[Workex]]="Yes",Table2[[#This Row],[Degree_P]]&gt;70%),"High Priority", "Standard")</f>
        <v>Standard</v>
      </c>
      <c r="Q148" s="10">
        <v>0</v>
      </c>
      <c r="R148" s="17">
        <f>IF(Table2[[#This Row],[Etest_P]]&gt;90,Table2[[#This Row],[Adjusted Salary ]]+(Table2[[#This Row],[Adjusted Salary ]]*5%),Table2[[#This Row],[Adjusted Salary ]])</f>
        <v>0</v>
      </c>
    </row>
    <row r="149" spans="1:18">
      <c r="A149" s="6">
        <v>11</v>
      </c>
      <c r="B149" s="6" t="s">
        <v>29</v>
      </c>
      <c r="C149" s="7">
        <v>58</v>
      </c>
      <c r="D149" s="6" t="s">
        <v>6</v>
      </c>
      <c r="E149" s="8">
        <v>61</v>
      </c>
      <c r="F149" s="6" t="s">
        <v>6</v>
      </c>
      <c r="G149" s="6" t="s">
        <v>1</v>
      </c>
      <c r="H149" s="7">
        <v>60</v>
      </c>
      <c r="I149" s="6" t="s">
        <v>11</v>
      </c>
      <c r="J149" s="6" t="s">
        <v>8</v>
      </c>
      <c r="K149" s="7">
        <v>62</v>
      </c>
      <c r="L149" s="6" t="s">
        <v>4</v>
      </c>
      <c r="M149" s="7">
        <v>60.85</v>
      </c>
      <c r="N149" s="7" t="str">
        <f t="shared" si="2"/>
        <v>First Class</v>
      </c>
      <c r="O149" s="6" t="s">
        <v>5</v>
      </c>
      <c r="P149" s="6" t="str">
        <f>IF(AND(Table2[[#This Row],[Workex]]="Yes",Table2[[#This Row],[Degree_P]]&gt;70%),"High Priority", "Standard")</f>
        <v>High Priority</v>
      </c>
      <c r="Q149" s="10">
        <v>260000</v>
      </c>
      <c r="R149" s="17">
        <f>IF(Table2[[#This Row],[Etest_P]]&gt;90,Table2[[#This Row],[Adjusted Salary ]]+(Table2[[#This Row],[Adjusted Salary ]]*5%),Table2[[#This Row],[Adjusted Salary ]])</f>
        <v>260000</v>
      </c>
    </row>
    <row r="150" spans="1:18">
      <c r="A150" s="6">
        <v>13</v>
      </c>
      <c r="B150" s="6" t="s">
        <v>30</v>
      </c>
      <c r="C150" s="7">
        <v>47</v>
      </c>
      <c r="D150" s="6" t="s">
        <v>6</v>
      </c>
      <c r="E150" s="8">
        <v>55</v>
      </c>
      <c r="F150" s="6" t="s">
        <v>0</v>
      </c>
      <c r="G150" s="6" t="s">
        <v>7</v>
      </c>
      <c r="H150" s="7">
        <v>65</v>
      </c>
      <c r="I150" s="6" t="s">
        <v>11</v>
      </c>
      <c r="J150" s="6" t="s">
        <v>3</v>
      </c>
      <c r="K150" s="7">
        <v>62</v>
      </c>
      <c r="L150" s="6" t="s">
        <v>4</v>
      </c>
      <c r="M150" s="7">
        <v>65.040000000000006</v>
      </c>
      <c r="N150" s="7" t="str">
        <f t="shared" si="2"/>
        <v>First Class</v>
      </c>
      <c r="O150" s="6" t="s">
        <v>12</v>
      </c>
      <c r="P150" s="6" t="str">
        <f>IF(AND(Table2[[#This Row],[Workex]]="Yes",Table2[[#This Row],[Degree_P]]&gt;70%),"High Priority", "Standard")</f>
        <v>Standard</v>
      </c>
      <c r="Q150" s="10">
        <v>0</v>
      </c>
      <c r="R150" s="17">
        <f>IF(Table2[[#This Row],[Etest_P]]&gt;90,Table2[[#This Row],[Adjusted Salary ]]+(Table2[[#This Row],[Adjusted Salary ]]*5%),Table2[[#This Row],[Adjusted Salary ]])</f>
        <v>0</v>
      </c>
    </row>
    <row r="151" spans="1:18">
      <c r="A151" s="3">
        <v>90</v>
      </c>
      <c r="B151" s="3" t="s">
        <v>30</v>
      </c>
      <c r="C151" s="4">
        <v>84</v>
      </c>
      <c r="D151" s="3" t="s">
        <v>0</v>
      </c>
      <c r="E151" s="5">
        <v>75</v>
      </c>
      <c r="F151" s="3" t="s">
        <v>0</v>
      </c>
      <c r="G151" s="3" t="s">
        <v>7</v>
      </c>
      <c r="H151" s="4">
        <v>69</v>
      </c>
      <c r="I151" s="3" t="s">
        <v>2</v>
      </c>
      <c r="J151" s="3" t="s">
        <v>8</v>
      </c>
      <c r="K151" s="4">
        <v>62</v>
      </c>
      <c r="L151" s="3" t="s">
        <v>4</v>
      </c>
      <c r="M151" s="4">
        <v>62.36</v>
      </c>
      <c r="N151" s="4" t="str">
        <f t="shared" si="2"/>
        <v>First Class</v>
      </c>
      <c r="O151" s="6" t="s">
        <v>5</v>
      </c>
      <c r="P151" s="6" t="str">
        <f>IF(AND(Table2[[#This Row],[Workex]]="Yes",Table2[[#This Row],[Degree_P]]&gt;70%),"High Priority", "Standard")</f>
        <v>High Priority</v>
      </c>
      <c r="Q151" s="9">
        <v>210000</v>
      </c>
      <c r="R151" s="17">
        <f>IF(Table2[[#This Row],[Etest_P]]&gt;90,Table2[[#This Row],[Adjusted Salary ]]+(Table2[[#This Row],[Adjusted Salary ]]*5%),Table2[[#This Row],[Adjusted Salary ]])</f>
        <v>210000</v>
      </c>
    </row>
    <row r="152" spans="1:18">
      <c r="A152" s="6">
        <v>160</v>
      </c>
      <c r="B152" s="6" t="s">
        <v>29</v>
      </c>
      <c r="C152" s="7">
        <v>52</v>
      </c>
      <c r="D152" s="6" t="s">
        <v>6</v>
      </c>
      <c r="E152" s="8">
        <v>49</v>
      </c>
      <c r="F152" s="6" t="s">
        <v>0</v>
      </c>
      <c r="G152" s="6" t="s">
        <v>1</v>
      </c>
      <c r="H152" s="7">
        <v>58</v>
      </c>
      <c r="I152" s="6" t="s">
        <v>11</v>
      </c>
      <c r="J152" s="6" t="s">
        <v>3</v>
      </c>
      <c r="K152" s="7">
        <v>62</v>
      </c>
      <c r="L152" s="6" t="s">
        <v>4</v>
      </c>
      <c r="M152" s="7">
        <v>60.59</v>
      </c>
      <c r="N152" s="7" t="str">
        <f t="shared" si="2"/>
        <v>First Class</v>
      </c>
      <c r="O152" s="6" t="s">
        <v>12</v>
      </c>
      <c r="P152" s="6" t="str">
        <f>IF(AND(Table2[[#This Row],[Workex]]="Yes",Table2[[#This Row],[Degree_P]]&gt;70%),"High Priority", "Standard")</f>
        <v>Standard</v>
      </c>
      <c r="Q152" s="10">
        <v>0</v>
      </c>
      <c r="R152" s="17">
        <f>IF(Table2[[#This Row],[Etest_P]]&gt;90,Table2[[#This Row],[Adjusted Salary ]]+(Table2[[#This Row],[Adjusted Salary ]]*5%),Table2[[#This Row],[Adjusted Salary ]])</f>
        <v>0</v>
      </c>
    </row>
    <row r="153" spans="1:18">
      <c r="A153" s="3">
        <v>206</v>
      </c>
      <c r="B153" s="3" t="s">
        <v>29</v>
      </c>
      <c r="C153" s="4">
        <v>61</v>
      </c>
      <c r="D153" s="3" t="s">
        <v>0</v>
      </c>
      <c r="E153" s="5">
        <v>62</v>
      </c>
      <c r="F153" s="3" t="s">
        <v>0</v>
      </c>
      <c r="G153" s="3" t="s">
        <v>1</v>
      </c>
      <c r="H153" s="4">
        <v>65</v>
      </c>
      <c r="I153" s="3" t="s">
        <v>11</v>
      </c>
      <c r="J153" s="3" t="s">
        <v>3</v>
      </c>
      <c r="K153" s="4">
        <v>62</v>
      </c>
      <c r="L153" s="3" t="s">
        <v>9</v>
      </c>
      <c r="M153" s="4">
        <v>56.81</v>
      </c>
      <c r="N153" s="4" t="str">
        <f t="shared" si="2"/>
        <v>Pass</v>
      </c>
      <c r="O153" s="6" t="s">
        <v>5</v>
      </c>
      <c r="P153" s="6" t="str">
        <f>IF(AND(Table2[[#This Row],[Workex]]="Yes",Table2[[#This Row],[Degree_P]]&gt;70%),"High Priority", "Standard")</f>
        <v>Standard</v>
      </c>
      <c r="Q153" s="9">
        <v>250000</v>
      </c>
      <c r="R153" s="17">
        <f>IF(Table2[[#This Row],[Etest_P]]&gt;90,Table2[[#This Row],[Adjusted Salary ]]+(Table2[[#This Row],[Adjusted Salary ]]*5%),Table2[[#This Row],[Adjusted Salary ]])</f>
        <v>250000</v>
      </c>
    </row>
    <row r="154" spans="1:18">
      <c r="A154" s="6">
        <v>62</v>
      </c>
      <c r="B154" s="6" t="s">
        <v>29</v>
      </c>
      <c r="C154" s="7">
        <v>84.2</v>
      </c>
      <c r="D154" s="6" t="s">
        <v>6</v>
      </c>
      <c r="E154" s="8">
        <v>73.400000000000006</v>
      </c>
      <c r="F154" s="6" t="s">
        <v>6</v>
      </c>
      <c r="G154" s="6" t="s">
        <v>1</v>
      </c>
      <c r="H154" s="7">
        <v>66.89</v>
      </c>
      <c r="I154" s="6" t="s">
        <v>11</v>
      </c>
      <c r="J154" s="6" t="s">
        <v>3</v>
      </c>
      <c r="K154" s="7">
        <v>61.6</v>
      </c>
      <c r="L154" s="6" t="s">
        <v>9</v>
      </c>
      <c r="M154" s="7">
        <v>62.48</v>
      </c>
      <c r="N154" s="7" t="str">
        <f t="shared" si="2"/>
        <v>First Class</v>
      </c>
      <c r="O154" s="6" t="s">
        <v>5</v>
      </c>
      <c r="P154" s="6" t="str">
        <f>IF(AND(Table2[[#This Row],[Workex]]="Yes",Table2[[#This Row],[Degree_P]]&gt;70%),"High Priority", "Standard")</f>
        <v>Standard</v>
      </c>
      <c r="Q154" s="10">
        <v>300000</v>
      </c>
      <c r="R154" s="17">
        <f>IF(Table2[[#This Row],[Etest_P]]&gt;90,Table2[[#This Row],[Adjusted Salary ]]+(Table2[[#This Row],[Adjusted Salary ]]*5%),Table2[[#This Row],[Adjusted Salary ]])</f>
        <v>300000</v>
      </c>
    </row>
    <row r="155" spans="1:18">
      <c r="A155" s="6">
        <v>203</v>
      </c>
      <c r="B155" s="6" t="s">
        <v>29</v>
      </c>
      <c r="C155" s="7">
        <v>70</v>
      </c>
      <c r="D155" s="6" t="s">
        <v>6</v>
      </c>
      <c r="E155" s="8">
        <v>63</v>
      </c>
      <c r="F155" s="6" t="s">
        <v>6</v>
      </c>
      <c r="G155" s="6" t="s">
        <v>7</v>
      </c>
      <c r="H155" s="7">
        <v>66</v>
      </c>
      <c r="I155" s="6" t="s">
        <v>2</v>
      </c>
      <c r="J155" s="6" t="s">
        <v>3</v>
      </c>
      <c r="K155" s="7">
        <v>61.28</v>
      </c>
      <c r="L155" s="6" t="s">
        <v>4</v>
      </c>
      <c r="M155" s="7">
        <v>60.11</v>
      </c>
      <c r="N155" s="7" t="str">
        <f t="shared" si="2"/>
        <v>First Class</v>
      </c>
      <c r="O155" s="6" t="s">
        <v>5</v>
      </c>
      <c r="P155" s="6" t="str">
        <f>IF(AND(Table2[[#This Row],[Workex]]="Yes",Table2[[#This Row],[Degree_P]]&gt;70%),"High Priority", "Standard")</f>
        <v>Standard</v>
      </c>
      <c r="Q155" s="10">
        <v>240000</v>
      </c>
      <c r="R155" s="17">
        <f>IF(Table2[[#This Row],[Etest_P]]&gt;90,Table2[[#This Row],[Adjusted Salary ]]+(Table2[[#This Row],[Adjusted Salary ]]*5%),Table2[[#This Row],[Adjusted Salary ]])</f>
        <v>240000</v>
      </c>
    </row>
    <row r="156" spans="1:18">
      <c r="A156" s="6">
        <v>65</v>
      </c>
      <c r="B156" s="6" t="s">
        <v>29</v>
      </c>
      <c r="C156" s="7">
        <v>80</v>
      </c>
      <c r="D156" s="6" t="s">
        <v>0</v>
      </c>
      <c r="E156" s="8">
        <v>73</v>
      </c>
      <c r="F156" s="6" t="s">
        <v>0</v>
      </c>
      <c r="G156" s="6" t="s">
        <v>1</v>
      </c>
      <c r="H156" s="7">
        <v>75</v>
      </c>
      <c r="I156" s="6" t="s">
        <v>11</v>
      </c>
      <c r="J156" s="6" t="s">
        <v>3</v>
      </c>
      <c r="K156" s="7">
        <v>61</v>
      </c>
      <c r="L156" s="6" t="s">
        <v>9</v>
      </c>
      <c r="M156" s="7">
        <v>58.78</v>
      </c>
      <c r="N156" s="7" t="str">
        <f t="shared" si="2"/>
        <v>Pass</v>
      </c>
      <c r="O156" s="6" t="s">
        <v>5</v>
      </c>
      <c r="P156" s="6" t="str">
        <f>IF(AND(Table2[[#This Row],[Workex]]="Yes",Table2[[#This Row],[Degree_P]]&gt;70%),"High Priority", "Standard")</f>
        <v>Standard</v>
      </c>
      <c r="Q156" s="10">
        <v>240000</v>
      </c>
      <c r="R156" s="17">
        <f>IF(Table2[[#This Row],[Etest_P]]&gt;90,Table2[[#This Row],[Adjusted Salary ]]+(Table2[[#This Row],[Adjusted Salary ]]*5%),Table2[[#This Row],[Adjusted Salary ]])</f>
        <v>240000</v>
      </c>
    </row>
    <row r="157" spans="1:18">
      <c r="A157" s="6">
        <v>77</v>
      </c>
      <c r="B157" s="6" t="s">
        <v>30</v>
      </c>
      <c r="C157" s="7">
        <v>66.5</v>
      </c>
      <c r="D157" s="6" t="s">
        <v>0</v>
      </c>
      <c r="E157" s="8">
        <v>70.400000000000006</v>
      </c>
      <c r="F157" s="6" t="s">
        <v>6</v>
      </c>
      <c r="G157" s="6" t="s">
        <v>10</v>
      </c>
      <c r="H157" s="7">
        <v>71.930000000000007</v>
      </c>
      <c r="I157" s="6" t="s">
        <v>11</v>
      </c>
      <c r="J157" s="6" t="s">
        <v>3</v>
      </c>
      <c r="K157" s="7">
        <v>61</v>
      </c>
      <c r="L157" s="6" t="s">
        <v>9</v>
      </c>
      <c r="M157" s="7">
        <v>64.27</v>
      </c>
      <c r="N157" s="7" t="str">
        <f t="shared" si="2"/>
        <v>First Class</v>
      </c>
      <c r="O157" s="6" t="s">
        <v>5</v>
      </c>
      <c r="P157" s="6" t="str">
        <f>IF(AND(Table2[[#This Row],[Workex]]="Yes",Table2[[#This Row],[Degree_P]]&gt;70%),"High Priority", "Standard")</f>
        <v>Standard</v>
      </c>
      <c r="Q157" s="10">
        <v>230000</v>
      </c>
      <c r="R157" s="17">
        <f>IF(Table2[[#This Row],[Etest_P]]&gt;90,Table2[[#This Row],[Adjusted Salary ]]+(Table2[[#This Row],[Adjusted Salary ]]*5%),Table2[[#This Row],[Adjusted Salary ]])</f>
        <v>230000</v>
      </c>
    </row>
    <row r="158" spans="1:18">
      <c r="A158" s="3">
        <v>12</v>
      </c>
      <c r="B158" s="3" t="s">
        <v>29</v>
      </c>
      <c r="C158" s="4">
        <v>69.599999999999994</v>
      </c>
      <c r="D158" s="3" t="s">
        <v>6</v>
      </c>
      <c r="E158" s="5">
        <v>68.400000000000006</v>
      </c>
      <c r="F158" s="3" t="s">
        <v>6</v>
      </c>
      <c r="G158" s="3" t="s">
        <v>1</v>
      </c>
      <c r="H158" s="4">
        <v>78.3</v>
      </c>
      <c r="I158" s="3" t="s">
        <v>11</v>
      </c>
      <c r="J158" s="3" t="s">
        <v>8</v>
      </c>
      <c r="K158" s="4">
        <v>60</v>
      </c>
      <c r="L158" s="3" t="s">
        <v>9</v>
      </c>
      <c r="M158" s="4">
        <v>63.7</v>
      </c>
      <c r="N158" s="4" t="str">
        <f t="shared" si="2"/>
        <v>First Class</v>
      </c>
      <c r="O158" s="6" t="s">
        <v>5</v>
      </c>
      <c r="P158" s="6" t="str">
        <f>IF(AND(Table2[[#This Row],[Workex]]="Yes",Table2[[#This Row],[Degree_P]]&gt;70%),"High Priority", "Standard")</f>
        <v>High Priority</v>
      </c>
      <c r="Q158" s="9">
        <v>250000</v>
      </c>
      <c r="R158" s="17">
        <f>IF(Table2[[#This Row],[Etest_P]]&gt;90,Table2[[#This Row],[Adjusted Salary ]]+(Table2[[#This Row],[Adjusted Salary ]]*5%),Table2[[#This Row],[Adjusted Salary ]])</f>
        <v>250000</v>
      </c>
    </row>
    <row r="159" spans="1:18">
      <c r="A159" s="3">
        <v>17</v>
      </c>
      <c r="B159" s="3" t="s">
        <v>29</v>
      </c>
      <c r="C159" s="4">
        <v>63</v>
      </c>
      <c r="D159" s="3" t="s">
        <v>6</v>
      </c>
      <c r="E159" s="5">
        <v>66.2</v>
      </c>
      <c r="F159" s="3" t="s">
        <v>6</v>
      </c>
      <c r="G159" s="3" t="s">
        <v>1</v>
      </c>
      <c r="H159" s="4">
        <v>65.599999999999994</v>
      </c>
      <c r="I159" s="3" t="s">
        <v>11</v>
      </c>
      <c r="J159" s="3" t="s">
        <v>8</v>
      </c>
      <c r="K159" s="4">
        <v>60</v>
      </c>
      <c r="L159" s="3" t="s">
        <v>9</v>
      </c>
      <c r="M159" s="4">
        <v>62.54</v>
      </c>
      <c r="N159" s="4" t="str">
        <f t="shared" si="2"/>
        <v>First Class</v>
      </c>
      <c r="O159" s="6" t="s">
        <v>5</v>
      </c>
      <c r="P159" s="6" t="str">
        <f>IF(AND(Table2[[#This Row],[Workex]]="Yes",Table2[[#This Row],[Degree_P]]&gt;70%),"High Priority", "Standard")</f>
        <v>High Priority</v>
      </c>
      <c r="Q159" s="9">
        <v>300000</v>
      </c>
      <c r="R159" s="17">
        <f>IF(Table2[[#This Row],[Etest_P]]&gt;90,Table2[[#This Row],[Adjusted Salary ]]+(Table2[[#This Row],[Adjusted Salary ]]*5%),Table2[[#This Row],[Adjusted Salary ]])</f>
        <v>300000</v>
      </c>
    </row>
    <row r="160" spans="1:18">
      <c r="A160" s="6">
        <v>18</v>
      </c>
      <c r="B160" s="6" t="s">
        <v>30</v>
      </c>
      <c r="C160" s="7">
        <v>55</v>
      </c>
      <c r="D160" s="6" t="s">
        <v>6</v>
      </c>
      <c r="E160" s="8">
        <v>67</v>
      </c>
      <c r="F160" s="6" t="s">
        <v>6</v>
      </c>
      <c r="G160" s="6" t="s">
        <v>1</v>
      </c>
      <c r="H160" s="7">
        <v>64</v>
      </c>
      <c r="I160" s="6" t="s">
        <v>11</v>
      </c>
      <c r="J160" s="6" t="s">
        <v>3</v>
      </c>
      <c r="K160" s="7">
        <v>60</v>
      </c>
      <c r="L160" s="6" t="s">
        <v>9</v>
      </c>
      <c r="M160" s="7">
        <v>67.28</v>
      </c>
      <c r="N160" s="7" t="str">
        <f t="shared" si="2"/>
        <v>First Class</v>
      </c>
      <c r="O160" s="6" t="s">
        <v>12</v>
      </c>
      <c r="P160" s="6" t="str">
        <f>IF(AND(Table2[[#This Row],[Workex]]="Yes",Table2[[#This Row],[Degree_P]]&gt;70%),"High Priority", "Standard")</f>
        <v>Standard</v>
      </c>
      <c r="Q160" s="10">
        <v>0</v>
      </c>
      <c r="R160" s="17">
        <f>IF(Table2[[#This Row],[Etest_P]]&gt;90,Table2[[#This Row],[Adjusted Salary ]]+(Table2[[#This Row],[Adjusted Salary ]]*5%),Table2[[#This Row],[Adjusted Salary ]])</f>
        <v>0</v>
      </c>
    </row>
    <row r="161" spans="1:18">
      <c r="A161" s="6">
        <v>41</v>
      </c>
      <c r="B161" s="6" t="s">
        <v>30</v>
      </c>
      <c r="C161" s="7">
        <v>78</v>
      </c>
      <c r="D161" s="6" t="s">
        <v>6</v>
      </c>
      <c r="E161" s="8">
        <v>77</v>
      </c>
      <c r="F161" s="6" t="s">
        <v>0</v>
      </c>
      <c r="G161" s="6" t="s">
        <v>1</v>
      </c>
      <c r="H161" s="7">
        <v>80</v>
      </c>
      <c r="I161" s="6" t="s">
        <v>11</v>
      </c>
      <c r="J161" s="6" t="s">
        <v>3</v>
      </c>
      <c r="K161" s="7">
        <v>60</v>
      </c>
      <c r="L161" s="6" t="s">
        <v>9</v>
      </c>
      <c r="M161" s="7">
        <v>66.72</v>
      </c>
      <c r="N161" s="7" t="str">
        <f t="shared" si="2"/>
        <v>First Class</v>
      </c>
      <c r="O161" s="6" t="s">
        <v>5</v>
      </c>
      <c r="P161" s="6" t="str">
        <f>IF(AND(Table2[[#This Row],[Workex]]="Yes",Table2[[#This Row],[Degree_P]]&gt;70%),"High Priority", "Standard")</f>
        <v>Standard</v>
      </c>
      <c r="Q161" s="10">
        <v>287000</v>
      </c>
      <c r="R161" s="17">
        <f>IF(Table2[[#This Row],[Etest_P]]&gt;90,Table2[[#This Row],[Adjusted Salary ]]+(Table2[[#This Row],[Adjusted Salary ]]*5%),Table2[[#This Row],[Adjusted Salary ]])</f>
        <v>287000</v>
      </c>
    </row>
    <row r="162" spans="1:18">
      <c r="A162" s="6">
        <v>61</v>
      </c>
      <c r="B162" s="6" t="s">
        <v>29</v>
      </c>
      <c r="C162" s="7">
        <v>74</v>
      </c>
      <c r="D162" s="6" t="s">
        <v>6</v>
      </c>
      <c r="E162" s="8">
        <v>70</v>
      </c>
      <c r="F162" s="6" t="s">
        <v>6</v>
      </c>
      <c r="G162" s="6" t="s">
        <v>7</v>
      </c>
      <c r="H162" s="7">
        <v>72</v>
      </c>
      <c r="I162" s="6" t="s">
        <v>11</v>
      </c>
      <c r="J162" s="6" t="s">
        <v>8</v>
      </c>
      <c r="K162" s="7">
        <v>60</v>
      </c>
      <c r="L162" s="6" t="s">
        <v>9</v>
      </c>
      <c r="M162" s="7">
        <v>57.24</v>
      </c>
      <c r="N162" s="7" t="str">
        <f t="shared" si="2"/>
        <v>Pass</v>
      </c>
      <c r="O162" s="6" t="s">
        <v>5</v>
      </c>
      <c r="P162" s="6" t="str">
        <f>IF(AND(Table2[[#This Row],[Workex]]="Yes",Table2[[#This Row],[Degree_P]]&gt;70%),"High Priority", "Standard")</f>
        <v>High Priority</v>
      </c>
      <c r="Q162" s="10">
        <v>260000</v>
      </c>
      <c r="R162" s="17">
        <f>IF(Table2[[#This Row],[Etest_P]]&gt;90,Table2[[#This Row],[Adjusted Salary ]]+(Table2[[#This Row],[Adjusted Salary ]]*5%),Table2[[#This Row],[Adjusted Salary ]])</f>
        <v>260000</v>
      </c>
    </row>
    <row r="163" spans="1:18">
      <c r="A163" s="6">
        <v>112</v>
      </c>
      <c r="B163" s="6" t="s">
        <v>29</v>
      </c>
      <c r="C163" s="7">
        <v>51</v>
      </c>
      <c r="D163" s="6" t="s">
        <v>0</v>
      </c>
      <c r="E163" s="8">
        <v>54</v>
      </c>
      <c r="F163" s="6" t="s">
        <v>0</v>
      </c>
      <c r="G163" s="6" t="s">
        <v>7</v>
      </c>
      <c r="H163" s="7">
        <v>61</v>
      </c>
      <c r="I163" s="6" t="s">
        <v>2</v>
      </c>
      <c r="J163" s="6" t="s">
        <v>3</v>
      </c>
      <c r="K163" s="7">
        <v>60</v>
      </c>
      <c r="L163" s="6" t="s">
        <v>4</v>
      </c>
      <c r="M163" s="7">
        <v>60.64</v>
      </c>
      <c r="N163" s="7" t="str">
        <f t="shared" si="2"/>
        <v>First Class</v>
      </c>
      <c r="O163" s="6" t="s">
        <v>12</v>
      </c>
      <c r="P163" s="6" t="str">
        <f>IF(AND(Table2[[#This Row],[Workex]]="Yes",Table2[[#This Row],[Degree_P]]&gt;70%),"High Priority", "Standard")</f>
        <v>Standard</v>
      </c>
      <c r="Q163" s="10">
        <v>0</v>
      </c>
      <c r="R163" s="17">
        <f>IF(Table2[[#This Row],[Etest_P]]&gt;90,Table2[[#This Row],[Adjusted Salary ]]+(Table2[[#This Row],[Adjusted Salary ]]*5%),Table2[[#This Row],[Adjusted Salary ]])</f>
        <v>0</v>
      </c>
    </row>
    <row r="164" spans="1:18">
      <c r="A164" s="6">
        <v>124</v>
      </c>
      <c r="B164" s="6" t="s">
        <v>29</v>
      </c>
      <c r="C164" s="7">
        <v>74</v>
      </c>
      <c r="D164" s="6" t="s">
        <v>0</v>
      </c>
      <c r="E164" s="8">
        <v>59</v>
      </c>
      <c r="F164" s="6" t="s">
        <v>0</v>
      </c>
      <c r="G164" s="6" t="s">
        <v>1</v>
      </c>
      <c r="H164" s="7">
        <v>73</v>
      </c>
      <c r="I164" s="6" t="s">
        <v>11</v>
      </c>
      <c r="J164" s="6" t="s">
        <v>8</v>
      </c>
      <c r="K164" s="7">
        <v>60</v>
      </c>
      <c r="L164" s="6" t="s">
        <v>4</v>
      </c>
      <c r="M164" s="7">
        <v>56.7</v>
      </c>
      <c r="N164" s="7" t="str">
        <f t="shared" si="2"/>
        <v>Pass</v>
      </c>
      <c r="O164" s="6" t="s">
        <v>5</v>
      </c>
      <c r="P164" s="6" t="str">
        <f>IF(AND(Table2[[#This Row],[Workex]]="Yes",Table2[[#This Row],[Degree_P]]&gt;70%),"High Priority", "Standard")</f>
        <v>High Priority</v>
      </c>
      <c r="Q164" s="10">
        <v>240000</v>
      </c>
      <c r="R164" s="17">
        <f>IF(Table2[[#This Row],[Etest_P]]&gt;90,Table2[[#This Row],[Adjusted Salary ]]+(Table2[[#This Row],[Adjusted Salary ]]*5%),Table2[[#This Row],[Adjusted Salary ]])</f>
        <v>240000</v>
      </c>
    </row>
    <row r="165" spans="1:18">
      <c r="A165" s="6">
        <v>142</v>
      </c>
      <c r="B165" s="6" t="s">
        <v>29</v>
      </c>
      <c r="C165" s="7">
        <v>66</v>
      </c>
      <c r="D165" s="6" t="s">
        <v>6</v>
      </c>
      <c r="E165" s="8">
        <v>64</v>
      </c>
      <c r="F165" s="6" t="s">
        <v>6</v>
      </c>
      <c r="G165" s="6" t="s">
        <v>7</v>
      </c>
      <c r="H165" s="7">
        <v>60</v>
      </c>
      <c r="I165" s="6" t="s">
        <v>11</v>
      </c>
      <c r="J165" s="6" t="s">
        <v>3</v>
      </c>
      <c r="K165" s="7">
        <v>60</v>
      </c>
      <c r="L165" s="6" t="s">
        <v>4</v>
      </c>
      <c r="M165" s="7">
        <v>61.9</v>
      </c>
      <c r="N165" s="7" t="str">
        <f t="shared" si="2"/>
        <v>First Class</v>
      </c>
      <c r="O165" s="6" t="s">
        <v>12</v>
      </c>
      <c r="P165" s="6" t="str">
        <f>IF(AND(Table2[[#This Row],[Workex]]="Yes",Table2[[#This Row],[Degree_P]]&gt;70%),"High Priority", "Standard")</f>
        <v>Standard</v>
      </c>
      <c r="Q165" s="10">
        <v>0</v>
      </c>
      <c r="R165" s="17">
        <f>IF(Table2[[#This Row],[Etest_P]]&gt;90,Table2[[#This Row],[Adjusted Salary ]]+(Table2[[#This Row],[Adjusted Salary ]]*5%),Table2[[#This Row],[Adjusted Salary ]])</f>
        <v>0</v>
      </c>
    </row>
    <row r="166" spans="1:18">
      <c r="A166" s="3">
        <v>143</v>
      </c>
      <c r="B166" s="3" t="s">
        <v>29</v>
      </c>
      <c r="C166" s="4">
        <v>85</v>
      </c>
      <c r="D166" s="3" t="s">
        <v>6</v>
      </c>
      <c r="E166" s="5">
        <v>60</v>
      </c>
      <c r="F166" s="3" t="s">
        <v>0</v>
      </c>
      <c r="G166" s="3" t="s">
        <v>7</v>
      </c>
      <c r="H166" s="4">
        <v>73.430000000000007</v>
      </c>
      <c r="I166" s="3" t="s">
        <v>2</v>
      </c>
      <c r="J166" s="3" t="s">
        <v>8</v>
      </c>
      <c r="K166" s="4">
        <v>60</v>
      </c>
      <c r="L166" s="3" t="s">
        <v>9</v>
      </c>
      <c r="M166" s="4">
        <v>61.29</v>
      </c>
      <c r="N166" s="4" t="str">
        <f t="shared" si="2"/>
        <v>First Class</v>
      </c>
      <c r="O166" s="6" t="s">
        <v>5</v>
      </c>
      <c r="P166" s="6" t="str">
        <f>IF(AND(Table2[[#This Row],[Workex]]="Yes",Table2[[#This Row],[Degree_P]]&gt;70%),"High Priority", "Standard")</f>
        <v>High Priority</v>
      </c>
      <c r="Q166" s="9">
        <v>260000</v>
      </c>
      <c r="R166" s="17">
        <f>IF(Table2[[#This Row],[Etest_P]]&gt;90,Table2[[#This Row],[Adjusted Salary ]]+(Table2[[#This Row],[Adjusted Salary ]]*5%),Table2[[#This Row],[Adjusted Salary ]])</f>
        <v>260000</v>
      </c>
    </row>
    <row r="167" spans="1:18">
      <c r="A167" s="3">
        <v>145</v>
      </c>
      <c r="B167" s="3" t="s">
        <v>29</v>
      </c>
      <c r="C167" s="4">
        <v>52</v>
      </c>
      <c r="D167" s="3" t="s">
        <v>0</v>
      </c>
      <c r="E167" s="5">
        <v>50</v>
      </c>
      <c r="F167" s="3" t="s">
        <v>0</v>
      </c>
      <c r="G167" s="3" t="s">
        <v>10</v>
      </c>
      <c r="H167" s="4">
        <v>61</v>
      </c>
      <c r="I167" s="3" t="s">
        <v>11</v>
      </c>
      <c r="J167" s="3" t="s">
        <v>3</v>
      </c>
      <c r="K167" s="4">
        <v>60</v>
      </c>
      <c r="L167" s="3" t="s">
        <v>9</v>
      </c>
      <c r="M167" s="4">
        <v>58.52</v>
      </c>
      <c r="N167" s="4" t="str">
        <f t="shared" si="2"/>
        <v>Pass</v>
      </c>
      <c r="O167" s="6" t="s">
        <v>12</v>
      </c>
      <c r="P167" s="6" t="str">
        <f>IF(AND(Table2[[#This Row],[Workex]]="Yes",Table2[[#This Row],[Degree_P]]&gt;70%),"High Priority", "Standard")</f>
        <v>Standard</v>
      </c>
      <c r="Q167" s="9">
        <v>0</v>
      </c>
      <c r="R167" s="17">
        <f>IF(Table2[[#This Row],[Etest_P]]&gt;90,Table2[[#This Row],[Adjusted Salary ]]+(Table2[[#This Row],[Adjusted Salary ]]*5%),Table2[[#This Row],[Adjusted Salary ]])</f>
        <v>0</v>
      </c>
    </row>
    <row r="168" spans="1:18">
      <c r="A168" s="3">
        <v>159</v>
      </c>
      <c r="B168" s="3" t="s">
        <v>29</v>
      </c>
      <c r="C168" s="4">
        <v>67</v>
      </c>
      <c r="D168" s="3" t="s">
        <v>0</v>
      </c>
      <c r="E168" s="5">
        <v>63</v>
      </c>
      <c r="F168" s="3" t="s">
        <v>0</v>
      </c>
      <c r="G168" s="3" t="s">
        <v>7</v>
      </c>
      <c r="H168" s="4">
        <v>64</v>
      </c>
      <c r="I168" s="3" t="s">
        <v>2</v>
      </c>
      <c r="J168" s="3" t="s">
        <v>3</v>
      </c>
      <c r="K168" s="4">
        <v>60</v>
      </c>
      <c r="L168" s="3" t="s">
        <v>9</v>
      </c>
      <c r="M168" s="4">
        <v>61.87</v>
      </c>
      <c r="N168" s="4" t="str">
        <f t="shared" si="2"/>
        <v>First Class</v>
      </c>
      <c r="O168" s="6" t="s">
        <v>12</v>
      </c>
      <c r="P168" s="6" t="str">
        <f>IF(AND(Table2[[#This Row],[Workex]]="Yes",Table2[[#This Row],[Degree_P]]&gt;70%),"High Priority", "Standard")</f>
        <v>Standard</v>
      </c>
      <c r="Q168" s="9">
        <v>0</v>
      </c>
      <c r="R168" s="17">
        <f>IF(Table2[[#This Row],[Etest_P]]&gt;90,Table2[[#This Row],[Adjusted Salary ]]+(Table2[[#This Row],[Adjusted Salary ]]*5%),Table2[[#This Row],[Adjusted Salary ]])</f>
        <v>0</v>
      </c>
    </row>
    <row r="169" spans="1:18">
      <c r="A169" s="6">
        <v>169</v>
      </c>
      <c r="B169" s="6" t="s">
        <v>30</v>
      </c>
      <c r="C169" s="7">
        <v>48</v>
      </c>
      <c r="D169" s="6" t="s">
        <v>6</v>
      </c>
      <c r="E169" s="8">
        <v>51</v>
      </c>
      <c r="F169" s="6" t="s">
        <v>6</v>
      </c>
      <c r="G169" s="6" t="s">
        <v>1</v>
      </c>
      <c r="H169" s="7">
        <v>58</v>
      </c>
      <c r="I169" s="6" t="s">
        <v>11</v>
      </c>
      <c r="J169" s="6" t="s">
        <v>8</v>
      </c>
      <c r="K169" s="7">
        <v>60</v>
      </c>
      <c r="L169" s="6" t="s">
        <v>4</v>
      </c>
      <c r="M169" s="7">
        <v>58.79</v>
      </c>
      <c r="N169" s="7" t="str">
        <f t="shared" si="2"/>
        <v>Pass</v>
      </c>
      <c r="O169" s="6" t="s">
        <v>12</v>
      </c>
      <c r="P169" s="6" t="str">
        <f>IF(AND(Table2[[#This Row],[Workex]]="Yes",Table2[[#This Row],[Degree_P]]&gt;70%),"High Priority", "Standard")</f>
        <v>High Priority</v>
      </c>
      <c r="Q169" s="10">
        <v>0</v>
      </c>
      <c r="R169" s="17">
        <f>IF(Table2[[#This Row],[Etest_P]]&gt;90,Table2[[#This Row],[Adjusted Salary ]]+(Table2[[#This Row],[Adjusted Salary ]]*5%),Table2[[#This Row],[Adjusted Salary ]])</f>
        <v>0</v>
      </c>
    </row>
    <row r="170" spans="1:18">
      <c r="A170" s="3">
        <v>184</v>
      </c>
      <c r="B170" s="3" t="s">
        <v>29</v>
      </c>
      <c r="C170" s="4">
        <v>65</v>
      </c>
      <c r="D170" s="3" t="s">
        <v>6</v>
      </c>
      <c r="E170" s="5">
        <v>77</v>
      </c>
      <c r="F170" s="3" t="s">
        <v>6</v>
      </c>
      <c r="G170" s="3" t="s">
        <v>1</v>
      </c>
      <c r="H170" s="4">
        <v>69</v>
      </c>
      <c r="I170" s="3" t="s">
        <v>11</v>
      </c>
      <c r="J170" s="3" t="s">
        <v>3</v>
      </c>
      <c r="K170" s="4">
        <v>60</v>
      </c>
      <c r="L170" s="3" t="s">
        <v>4</v>
      </c>
      <c r="M170" s="4">
        <v>61.82</v>
      </c>
      <c r="N170" s="4" t="str">
        <f t="shared" si="2"/>
        <v>First Class</v>
      </c>
      <c r="O170" s="6" t="s">
        <v>5</v>
      </c>
      <c r="P170" s="6" t="str">
        <f>IF(AND(Table2[[#This Row],[Workex]]="Yes",Table2[[#This Row],[Degree_P]]&gt;70%),"High Priority", "Standard")</f>
        <v>Standard</v>
      </c>
      <c r="Q170" s="9">
        <v>276000</v>
      </c>
      <c r="R170" s="17">
        <f>IF(Table2[[#This Row],[Etest_P]]&gt;90,Table2[[#This Row],[Adjusted Salary ]]+(Table2[[#This Row],[Adjusted Salary ]]*5%),Table2[[#This Row],[Adjusted Salary ]])</f>
        <v>276000</v>
      </c>
    </row>
    <row r="171" spans="1:18">
      <c r="A171" s="6">
        <v>185</v>
      </c>
      <c r="B171" s="6" t="s">
        <v>30</v>
      </c>
      <c r="C171" s="7">
        <v>56.28</v>
      </c>
      <c r="D171" s="6" t="s">
        <v>0</v>
      </c>
      <c r="E171" s="8">
        <v>62.83</v>
      </c>
      <c r="F171" s="6" t="s">
        <v>0</v>
      </c>
      <c r="G171" s="6" t="s">
        <v>1</v>
      </c>
      <c r="H171" s="7">
        <v>59.79</v>
      </c>
      <c r="I171" s="6" t="s">
        <v>11</v>
      </c>
      <c r="J171" s="6" t="s">
        <v>3</v>
      </c>
      <c r="K171" s="7">
        <v>60</v>
      </c>
      <c r="L171" s="6" t="s">
        <v>4</v>
      </c>
      <c r="M171" s="7">
        <v>57.29</v>
      </c>
      <c r="N171" s="7" t="str">
        <f t="shared" si="2"/>
        <v>Pass</v>
      </c>
      <c r="O171" s="6" t="s">
        <v>12</v>
      </c>
      <c r="P171" s="6" t="str">
        <f>IF(AND(Table2[[#This Row],[Workex]]="Yes",Table2[[#This Row],[Degree_P]]&gt;70%),"High Priority", "Standard")</f>
        <v>Standard</v>
      </c>
      <c r="Q171" s="10">
        <v>0</v>
      </c>
      <c r="R171" s="17">
        <f>IF(Table2[[#This Row],[Etest_P]]&gt;90,Table2[[#This Row],[Adjusted Salary ]]+(Table2[[#This Row],[Adjusted Salary ]]*5%),Table2[[#This Row],[Adjusted Salary ]])</f>
        <v>0</v>
      </c>
    </row>
    <row r="172" spans="1:18">
      <c r="A172" s="3">
        <v>198</v>
      </c>
      <c r="B172" s="3" t="s">
        <v>30</v>
      </c>
      <c r="C172" s="4">
        <v>83.96</v>
      </c>
      <c r="D172" s="3" t="s">
        <v>0</v>
      </c>
      <c r="E172" s="5">
        <v>53</v>
      </c>
      <c r="F172" s="3" t="s">
        <v>0</v>
      </c>
      <c r="G172" s="3" t="s">
        <v>7</v>
      </c>
      <c r="H172" s="4">
        <v>91</v>
      </c>
      <c r="I172" s="3" t="s">
        <v>2</v>
      </c>
      <c r="J172" s="3" t="s">
        <v>3</v>
      </c>
      <c r="K172" s="4">
        <v>59.32</v>
      </c>
      <c r="L172" s="3" t="s">
        <v>4</v>
      </c>
      <c r="M172" s="4">
        <v>69.709999999999994</v>
      </c>
      <c r="N172" s="4" t="str">
        <f t="shared" si="2"/>
        <v>First Class</v>
      </c>
      <c r="O172" s="6" t="s">
        <v>5</v>
      </c>
      <c r="P172" s="6" t="str">
        <f>IF(AND(Table2[[#This Row],[Workex]]="Yes",Table2[[#This Row],[Degree_P]]&gt;70%),"High Priority", "Standard")</f>
        <v>Standard</v>
      </c>
      <c r="Q172" s="9">
        <v>260000</v>
      </c>
      <c r="R172" s="17">
        <f>IF(Table2[[#This Row],[Etest_P]]&gt;90,Table2[[#This Row],[Adjusted Salary ]]+(Table2[[#This Row],[Adjusted Salary ]]*5%),Table2[[#This Row],[Adjusted Salary ]])</f>
        <v>260000</v>
      </c>
    </row>
    <row r="173" spans="1:18">
      <c r="A173" s="6">
        <v>63</v>
      </c>
      <c r="B173" s="6" t="s">
        <v>30</v>
      </c>
      <c r="C173" s="7">
        <v>86.5</v>
      </c>
      <c r="D173" s="6" t="s">
        <v>0</v>
      </c>
      <c r="E173" s="8">
        <v>64.2</v>
      </c>
      <c r="F173" s="6" t="s">
        <v>0</v>
      </c>
      <c r="G173" s="6" t="s">
        <v>7</v>
      </c>
      <c r="H173" s="7">
        <v>67.400000000000006</v>
      </c>
      <c r="I173" s="6" t="s">
        <v>2</v>
      </c>
      <c r="J173" s="6" t="s">
        <v>3</v>
      </c>
      <c r="K173" s="7">
        <v>59</v>
      </c>
      <c r="L173" s="6" t="s">
        <v>9</v>
      </c>
      <c r="M173" s="7">
        <v>59.69</v>
      </c>
      <c r="N173" s="7" t="str">
        <f t="shared" si="2"/>
        <v>Pass</v>
      </c>
      <c r="O173" s="6" t="s">
        <v>5</v>
      </c>
      <c r="P173" s="6" t="str">
        <f>IF(AND(Table2[[#This Row],[Workex]]="Yes",Table2[[#This Row],[Degree_P]]&gt;70%),"High Priority", "Standard")</f>
        <v>Standard</v>
      </c>
      <c r="Q173" s="10">
        <v>240000</v>
      </c>
      <c r="R173" s="17">
        <f>IF(Table2[[#This Row],[Etest_P]]&gt;90,Table2[[#This Row],[Adjusted Salary ]]+(Table2[[#This Row],[Adjusted Salary ]]*5%),Table2[[#This Row],[Adjusted Salary ]])</f>
        <v>240000</v>
      </c>
    </row>
    <row r="174" spans="1:18">
      <c r="A174" s="3">
        <v>195</v>
      </c>
      <c r="B174" s="3" t="s">
        <v>29</v>
      </c>
      <c r="C174" s="4">
        <v>52</v>
      </c>
      <c r="D174" s="3" t="s">
        <v>0</v>
      </c>
      <c r="E174" s="5">
        <v>55</v>
      </c>
      <c r="F174" s="3" t="s">
        <v>0</v>
      </c>
      <c r="G174" s="3" t="s">
        <v>1</v>
      </c>
      <c r="H174" s="4">
        <v>56.3</v>
      </c>
      <c r="I174" s="3" t="s">
        <v>11</v>
      </c>
      <c r="J174" s="3" t="s">
        <v>3</v>
      </c>
      <c r="K174" s="4">
        <v>59</v>
      </c>
      <c r="L174" s="3" t="s">
        <v>9</v>
      </c>
      <c r="M174" s="4">
        <v>64.739999999999995</v>
      </c>
      <c r="N174" s="4" t="str">
        <f t="shared" si="2"/>
        <v>First Class</v>
      </c>
      <c r="O174" s="6" t="s">
        <v>12</v>
      </c>
      <c r="P174" s="6" t="str">
        <f>IF(AND(Table2[[#This Row],[Workex]]="Yes",Table2[[#This Row],[Degree_P]]&gt;70%),"High Priority", "Standard")</f>
        <v>Standard</v>
      </c>
      <c r="Q174" s="9">
        <v>0</v>
      </c>
      <c r="R174" s="17">
        <f>IF(Table2[[#This Row],[Etest_P]]&gt;90,Table2[[#This Row],[Adjusted Salary ]]+(Table2[[#This Row],[Adjusted Salary ]]*5%),Table2[[#This Row],[Adjusted Salary ]])</f>
        <v>0</v>
      </c>
    </row>
    <row r="175" spans="1:18">
      <c r="A175" s="3">
        <v>213</v>
      </c>
      <c r="B175" s="3" t="s">
        <v>29</v>
      </c>
      <c r="C175" s="4">
        <v>67</v>
      </c>
      <c r="D175" s="3" t="s">
        <v>0</v>
      </c>
      <c r="E175" s="5">
        <v>67</v>
      </c>
      <c r="F175" s="3" t="s">
        <v>0</v>
      </c>
      <c r="G175" s="3" t="s">
        <v>1</v>
      </c>
      <c r="H175" s="4">
        <v>73</v>
      </c>
      <c r="I175" s="3" t="s">
        <v>11</v>
      </c>
      <c r="J175" s="3" t="s">
        <v>8</v>
      </c>
      <c r="K175" s="4">
        <v>59</v>
      </c>
      <c r="L175" s="3" t="s">
        <v>9</v>
      </c>
      <c r="M175" s="4">
        <v>69.72</v>
      </c>
      <c r="N175" s="4" t="str">
        <f t="shared" si="2"/>
        <v>First Class</v>
      </c>
      <c r="O175" s="6" t="s">
        <v>5</v>
      </c>
      <c r="P175" s="6" t="str">
        <f>IF(AND(Table2[[#This Row],[Workex]]="Yes",Table2[[#This Row],[Degree_P]]&gt;70%),"High Priority", "Standard")</f>
        <v>High Priority</v>
      </c>
      <c r="Q175" s="9">
        <v>295000</v>
      </c>
      <c r="R175" s="17">
        <f>IF(Table2[[#This Row],[Etest_P]]&gt;90,Table2[[#This Row],[Adjusted Salary ]]+(Table2[[#This Row],[Adjusted Salary ]]*5%),Table2[[#This Row],[Adjusted Salary ]])</f>
        <v>295000</v>
      </c>
    </row>
    <row r="176" spans="1:18">
      <c r="A176" s="6">
        <v>168</v>
      </c>
      <c r="B176" s="6" t="s">
        <v>29</v>
      </c>
      <c r="C176" s="7">
        <v>67.900000000000006</v>
      </c>
      <c r="D176" s="6" t="s">
        <v>0</v>
      </c>
      <c r="E176" s="8">
        <v>62</v>
      </c>
      <c r="F176" s="6" t="s">
        <v>0</v>
      </c>
      <c r="G176" s="6" t="s">
        <v>7</v>
      </c>
      <c r="H176" s="7">
        <v>67</v>
      </c>
      <c r="I176" s="6" t="s">
        <v>2</v>
      </c>
      <c r="J176" s="6" t="s">
        <v>8</v>
      </c>
      <c r="K176" s="7">
        <v>58.1</v>
      </c>
      <c r="L176" s="6" t="s">
        <v>9</v>
      </c>
      <c r="M176" s="7">
        <v>75.709999999999994</v>
      </c>
      <c r="N176" s="7" t="str">
        <f t="shared" si="2"/>
        <v>Distinction</v>
      </c>
      <c r="O176" s="6" t="s">
        <v>12</v>
      </c>
      <c r="P176" s="6" t="str">
        <f>IF(AND(Table2[[#This Row],[Workex]]="Yes",Table2[[#This Row],[Degree_P]]&gt;70%),"High Priority", "Standard")</f>
        <v>High Priority</v>
      </c>
      <c r="Q176" s="10">
        <v>0</v>
      </c>
      <c r="R176" s="17">
        <f>IF(Table2[[#This Row],[Etest_P]]&gt;90,Table2[[#This Row],[Adjusted Salary ]]+(Table2[[#This Row],[Adjusted Salary ]]*5%),Table2[[#This Row],[Adjusted Salary ]])</f>
        <v>0</v>
      </c>
    </row>
    <row r="177" spans="1:18">
      <c r="A177" s="3">
        <v>171</v>
      </c>
      <c r="B177" s="3" t="s">
        <v>30</v>
      </c>
      <c r="C177" s="4">
        <v>63.4</v>
      </c>
      <c r="D177" s="3" t="s">
        <v>0</v>
      </c>
      <c r="E177" s="5">
        <v>67.2</v>
      </c>
      <c r="F177" s="3" t="s">
        <v>0</v>
      </c>
      <c r="G177" s="3" t="s">
        <v>1</v>
      </c>
      <c r="H177" s="4">
        <v>60</v>
      </c>
      <c r="I177" s="3" t="s">
        <v>11</v>
      </c>
      <c r="J177" s="3" t="s">
        <v>3</v>
      </c>
      <c r="K177" s="4">
        <v>58.06</v>
      </c>
      <c r="L177" s="3" t="s">
        <v>4</v>
      </c>
      <c r="M177" s="4">
        <v>69.28</v>
      </c>
      <c r="N177" s="4" t="str">
        <f t="shared" si="2"/>
        <v>First Class</v>
      </c>
      <c r="O177" s="6" t="s">
        <v>12</v>
      </c>
      <c r="P177" s="6" t="str">
        <f>IF(AND(Table2[[#This Row],[Workex]]="Yes",Table2[[#This Row],[Degree_P]]&gt;70%),"High Priority", "Standard")</f>
        <v>Standard</v>
      </c>
      <c r="Q177" s="9">
        <v>0</v>
      </c>
      <c r="R177" s="17">
        <f>IF(Table2[[#This Row],[Etest_P]]&gt;90,Table2[[#This Row],[Adjusted Salary ]]+(Table2[[#This Row],[Adjusted Salary ]]*5%),Table2[[#This Row],[Adjusted Salary ]])</f>
        <v>0</v>
      </c>
    </row>
    <row r="178" spans="1:18">
      <c r="A178" s="6">
        <v>38</v>
      </c>
      <c r="B178" s="6" t="s">
        <v>30</v>
      </c>
      <c r="C178" s="7">
        <v>79</v>
      </c>
      <c r="D178" s="6" t="s">
        <v>6</v>
      </c>
      <c r="E178" s="8">
        <v>76</v>
      </c>
      <c r="F178" s="6" t="s">
        <v>6</v>
      </c>
      <c r="G178" s="6" t="s">
        <v>7</v>
      </c>
      <c r="H178" s="7">
        <v>65.599999999999994</v>
      </c>
      <c r="I178" s="6" t="s">
        <v>2</v>
      </c>
      <c r="J178" s="6" t="s">
        <v>3</v>
      </c>
      <c r="K178" s="7">
        <v>58</v>
      </c>
      <c r="L178" s="6" t="s">
        <v>4</v>
      </c>
      <c r="M178" s="7">
        <v>55.47</v>
      </c>
      <c r="N178" s="7" t="str">
        <f t="shared" si="2"/>
        <v>Pass</v>
      </c>
      <c r="O178" s="6" t="s">
        <v>5</v>
      </c>
      <c r="P178" s="6" t="str">
        <f>IF(AND(Table2[[#This Row],[Workex]]="Yes",Table2[[#This Row],[Degree_P]]&gt;70%),"High Priority", "Standard")</f>
        <v>Standard</v>
      </c>
      <c r="Q178" s="10">
        <v>320000</v>
      </c>
      <c r="R178" s="17">
        <f>IF(Table2[[#This Row],[Etest_P]]&gt;90,Table2[[#This Row],[Adjusted Salary ]]+(Table2[[#This Row],[Adjusted Salary ]]*5%),Table2[[#This Row],[Adjusted Salary ]])</f>
        <v>320000</v>
      </c>
    </row>
    <row r="179" spans="1:18">
      <c r="A179" s="6">
        <v>46</v>
      </c>
      <c r="B179" s="6" t="s">
        <v>30</v>
      </c>
      <c r="C179" s="7">
        <v>76</v>
      </c>
      <c r="D179" s="6" t="s">
        <v>6</v>
      </c>
      <c r="E179" s="8">
        <v>64</v>
      </c>
      <c r="F179" s="6" t="s">
        <v>6</v>
      </c>
      <c r="G179" s="6" t="s">
        <v>7</v>
      </c>
      <c r="H179" s="7">
        <v>72</v>
      </c>
      <c r="I179" s="6" t="s">
        <v>2</v>
      </c>
      <c r="J179" s="6" t="s">
        <v>3</v>
      </c>
      <c r="K179" s="7">
        <v>58</v>
      </c>
      <c r="L179" s="6" t="s">
        <v>4</v>
      </c>
      <c r="M179" s="7">
        <v>66.53</v>
      </c>
      <c r="N179" s="7" t="str">
        <f t="shared" si="2"/>
        <v>First Class</v>
      </c>
      <c r="O179" s="6" t="s">
        <v>12</v>
      </c>
      <c r="P179" s="6" t="str">
        <f>IF(AND(Table2[[#This Row],[Workex]]="Yes",Table2[[#This Row],[Degree_P]]&gt;70%),"High Priority", "Standard")</f>
        <v>Standard</v>
      </c>
      <c r="Q179" s="10">
        <v>0</v>
      </c>
      <c r="R179" s="17">
        <f>IF(Table2[[#This Row],[Etest_P]]&gt;90,Table2[[#This Row],[Adjusted Salary ]]+(Table2[[#This Row],[Adjusted Salary ]]*5%),Table2[[#This Row],[Adjusted Salary ]])</f>
        <v>0</v>
      </c>
    </row>
    <row r="180" spans="1:18">
      <c r="A180" s="3">
        <v>89</v>
      </c>
      <c r="B180" s="3" t="s">
        <v>30</v>
      </c>
      <c r="C180" s="4">
        <v>66</v>
      </c>
      <c r="D180" s="3" t="s">
        <v>6</v>
      </c>
      <c r="E180" s="5">
        <v>62</v>
      </c>
      <c r="F180" s="3" t="s">
        <v>6</v>
      </c>
      <c r="G180" s="3" t="s">
        <v>1</v>
      </c>
      <c r="H180" s="4">
        <v>73</v>
      </c>
      <c r="I180" s="3" t="s">
        <v>11</v>
      </c>
      <c r="J180" s="3" t="s">
        <v>3</v>
      </c>
      <c r="K180" s="4">
        <v>58</v>
      </c>
      <c r="L180" s="3" t="s">
        <v>4</v>
      </c>
      <c r="M180" s="4">
        <v>64.36</v>
      </c>
      <c r="N180" s="4" t="str">
        <f t="shared" si="2"/>
        <v>First Class</v>
      </c>
      <c r="O180" s="6" t="s">
        <v>5</v>
      </c>
      <c r="P180" s="6" t="str">
        <f>IF(AND(Table2[[#This Row],[Workex]]="Yes",Table2[[#This Row],[Degree_P]]&gt;70%),"High Priority", "Standard")</f>
        <v>Standard</v>
      </c>
      <c r="Q180" s="9">
        <v>210000</v>
      </c>
      <c r="R180" s="17">
        <f>IF(Table2[[#This Row],[Etest_P]]&gt;90,Table2[[#This Row],[Adjusted Salary ]]+(Table2[[#This Row],[Adjusted Salary ]]*5%),Table2[[#This Row],[Adjusted Salary ]])</f>
        <v>210000</v>
      </c>
    </row>
    <row r="181" spans="1:18">
      <c r="A181" s="3">
        <v>113</v>
      </c>
      <c r="B181" s="3" t="s">
        <v>29</v>
      </c>
      <c r="C181" s="4">
        <v>58</v>
      </c>
      <c r="D181" s="3" t="s">
        <v>0</v>
      </c>
      <c r="E181" s="5">
        <v>61</v>
      </c>
      <c r="F181" s="3" t="s">
        <v>0</v>
      </c>
      <c r="G181" s="3" t="s">
        <v>1</v>
      </c>
      <c r="H181" s="4">
        <v>61</v>
      </c>
      <c r="I181" s="3" t="s">
        <v>11</v>
      </c>
      <c r="J181" s="3" t="s">
        <v>3</v>
      </c>
      <c r="K181" s="4">
        <v>58</v>
      </c>
      <c r="L181" s="3" t="s">
        <v>4</v>
      </c>
      <c r="M181" s="4">
        <v>53.94</v>
      </c>
      <c r="N181" s="4" t="str">
        <f t="shared" si="2"/>
        <v>Pass</v>
      </c>
      <c r="O181" s="6" t="s">
        <v>5</v>
      </c>
      <c r="P181" s="6" t="str">
        <f>IF(AND(Table2[[#This Row],[Workex]]="Yes",Table2[[#This Row],[Degree_P]]&gt;70%),"High Priority", "Standard")</f>
        <v>Standard</v>
      </c>
      <c r="Q181" s="9">
        <v>250000</v>
      </c>
      <c r="R181" s="17">
        <f>IF(Table2[[#This Row],[Etest_P]]&gt;90,Table2[[#This Row],[Adjusted Salary ]]+(Table2[[#This Row],[Adjusted Salary ]]*5%),Table2[[#This Row],[Adjusted Salary ]])</f>
        <v>250000</v>
      </c>
    </row>
    <row r="182" spans="1:18">
      <c r="A182" s="6">
        <v>140</v>
      </c>
      <c r="B182" s="6" t="s">
        <v>29</v>
      </c>
      <c r="C182" s="7">
        <v>77</v>
      </c>
      <c r="D182" s="6" t="s">
        <v>6</v>
      </c>
      <c r="E182" s="8">
        <v>70</v>
      </c>
      <c r="F182" s="6" t="s">
        <v>6</v>
      </c>
      <c r="G182" s="6" t="s">
        <v>1</v>
      </c>
      <c r="H182" s="7">
        <v>59</v>
      </c>
      <c r="I182" s="6" t="s">
        <v>11</v>
      </c>
      <c r="J182" s="6" t="s">
        <v>8</v>
      </c>
      <c r="K182" s="7">
        <v>58</v>
      </c>
      <c r="L182" s="6" t="s">
        <v>9</v>
      </c>
      <c r="M182" s="7">
        <v>54.43</v>
      </c>
      <c r="N182" s="7" t="str">
        <f t="shared" si="2"/>
        <v>Pass</v>
      </c>
      <c r="O182" s="6" t="s">
        <v>5</v>
      </c>
      <c r="P182" s="6" t="str">
        <f>IF(AND(Table2[[#This Row],[Workex]]="Yes",Table2[[#This Row],[Degree_P]]&gt;70%),"High Priority", "Standard")</f>
        <v>High Priority</v>
      </c>
      <c r="Q182" s="10">
        <v>220000</v>
      </c>
      <c r="R182" s="17">
        <f>IF(Table2[[#This Row],[Etest_P]]&gt;90,Table2[[#This Row],[Adjusted Salary ]]+(Table2[[#This Row],[Adjusted Salary ]]*5%),Table2[[#This Row],[Adjusted Salary ]])</f>
        <v>220000</v>
      </c>
    </row>
    <row r="183" spans="1:18">
      <c r="A183" s="3">
        <v>162</v>
      </c>
      <c r="B183" s="3" t="s">
        <v>29</v>
      </c>
      <c r="C183" s="4">
        <v>55.6</v>
      </c>
      <c r="D183" s="3" t="s">
        <v>0</v>
      </c>
      <c r="E183" s="5">
        <v>51</v>
      </c>
      <c r="F183" s="3" t="s">
        <v>0</v>
      </c>
      <c r="G183" s="3" t="s">
        <v>1</v>
      </c>
      <c r="H183" s="4">
        <v>57.5</v>
      </c>
      <c r="I183" s="3" t="s">
        <v>11</v>
      </c>
      <c r="J183" s="3" t="s">
        <v>3</v>
      </c>
      <c r="K183" s="4">
        <v>57.63</v>
      </c>
      <c r="L183" s="3" t="s">
        <v>4</v>
      </c>
      <c r="M183" s="4">
        <v>62.72</v>
      </c>
      <c r="N183" s="4" t="str">
        <f t="shared" si="2"/>
        <v>First Class</v>
      </c>
      <c r="O183" s="6" t="s">
        <v>12</v>
      </c>
      <c r="P183" s="6" t="str">
        <f>IF(AND(Table2[[#This Row],[Workex]]="Yes",Table2[[#This Row],[Degree_P]]&gt;70%),"High Priority", "Standard")</f>
        <v>Standard</v>
      </c>
      <c r="Q183" s="9">
        <v>0</v>
      </c>
      <c r="R183" s="17">
        <f>IF(Table2[[#This Row],[Etest_P]]&gt;90,Table2[[#This Row],[Adjusted Salary ]]+(Table2[[#This Row],[Adjusted Salary ]]*5%),Table2[[#This Row],[Adjusted Salary ]])</f>
        <v>0</v>
      </c>
    </row>
    <row r="184" spans="1:18">
      <c r="A184" s="3">
        <v>60</v>
      </c>
      <c r="B184" s="3" t="s">
        <v>29</v>
      </c>
      <c r="C184" s="4">
        <v>52.6</v>
      </c>
      <c r="D184" s="3" t="s">
        <v>6</v>
      </c>
      <c r="E184" s="5">
        <v>65.58</v>
      </c>
      <c r="F184" s="3" t="s">
        <v>0</v>
      </c>
      <c r="G184" s="3" t="s">
        <v>7</v>
      </c>
      <c r="H184" s="4">
        <v>72.11</v>
      </c>
      <c r="I184" s="3" t="s">
        <v>2</v>
      </c>
      <c r="J184" s="3" t="s">
        <v>3</v>
      </c>
      <c r="K184" s="4">
        <v>57.6</v>
      </c>
      <c r="L184" s="3" t="s">
        <v>9</v>
      </c>
      <c r="M184" s="4">
        <v>56.66</v>
      </c>
      <c r="N184" s="4" t="str">
        <f t="shared" si="2"/>
        <v>Pass</v>
      </c>
      <c r="O184" s="6" t="s">
        <v>5</v>
      </c>
      <c r="P184" s="6" t="str">
        <f>IF(AND(Table2[[#This Row],[Workex]]="Yes",Table2[[#This Row],[Degree_P]]&gt;70%),"High Priority", "Standard")</f>
        <v>Standard</v>
      </c>
      <c r="Q184" s="9">
        <v>265000</v>
      </c>
      <c r="R184" s="17">
        <f>IF(Table2[[#This Row],[Etest_P]]&gt;90,Table2[[#This Row],[Adjusted Salary ]]+(Table2[[#This Row],[Adjusted Salary ]]*5%),Table2[[#This Row],[Adjusted Salary ]])</f>
        <v>265000</v>
      </c>
    </row>
    <row r="185" spans="1:18">
      <c r="A185" s="6">
        <v>103</v>
      </c>
      <c r="B185" s="6" t="s">
        <v>30</v>
      </c>
      <c r="C185" s="7">
        <v>77</v>
      </c>
      <c r="D185" s="6" t="s">
        <v>0</v>
      </c>
      <c r="E185" s="8">
        <v>61</v>
      </c>
      <c r="F185" s="6" t="s">
        <v>0</v>
      </c>
      <c r="G185" s="6" t="s">
        <v>1</v>
      </c>
      <c r="H185" s="7">
        <v>68</v>
      </c>
      <c r="I185" s="6" t="s">
        <v>11</v>
      </c>
      <c r="J185" s="6" t="s">
        <v>8</v>
      </c>
      <c r="K185" s="7">
        <v>57.5</v>
      </c>
      <c r="L185" s="6" t="s">
        <v>9</v>
      </c>
      <c r="M185" s="7">
        <v>61.31</v>
      </c>
      <c r="N185" s="7" t="str">
        <f t="shared" si="2"/>
        <v>First Class</v>
      </c>
      <c r="O185" s="6" t="s">
        <v>5</v>
      </c>
      <c r="P185" s="6" t="str">
        <f>IF(AND(Table2[[#This Row],[Workex]]="Yes",Table2[[#This Row],[Degree_P]]&gt;70%),"High Priority", "Standard")</f>
        <v>High Priority</v>
      </c>
      <c r="Q185" s="10">
        <v>300000</v>
      </c>
      <c r="R185" s="17">
        <f>IF(Table2[[#This Row],[Etest_P]]&gt;90,Table2[[#This Row],[Adjusted Salary ]]+(Table2[[#This Row],[Adjusted Salary ]]*5%),Table2[[#This Row],[Adjusted Salary ]])</f>
        <v>300000</v>
      </c>
    </row>
    <row r="186" spans="1:18">
      <c r="A186" s="3">
        <v>111</v>
      </c>
      <c r="B186" s="3" t="s">
        <v>30</v>
      </c>
      <c r="C186" s="4">
        <v>69.5</v>
      </c>
      <c r="D186" s="3" t="s">
        <v>6</v>
      </c>
      <c r="E186" s="5">
        <v>70</v>
      </c>
      <c r="F186" s="3" t="s">
        <v>6</v>
      </c>
      <c r="G186" s="3" t="s">
        <v>7</v>
      </c>
      <c r="H186" s="4">
        <v>72</v>
      </c>
      <c r="I186" s="3" t="s">
        <v>2</v>
      </c>
      <c r="J186" s="3" t="s">
        <v>3</v>
      </c>
      <c r="K186" s="4">
        <v>57.2</v>
      </c>
      <c r="L186" s="3" t="s">
        <v>4</v>
      </c>
      <c r="M186" s="4">
        <v>54.8</v>
      </c>
      <c r="N186" s="4" t="str">
        <f t="shared" si="2"/>
        <v>Pass</v>
      </c>
      <c r="O186" s="6" t="s">
        <v>5</v>
      </c>
      <c r="P186" s="6" t="str">
        <f>IF(AND(Table2[[#This Row],[Workex]]="Yes",Table2[[#This Row],[Degree_P]]&gt;70%),"High Priority", "Standard")</f>
        <v>Standard</v>
      </c>
      <c r="Q186" s="9">
        <v>250000</v>
      </c>
      <c r="R186" s="17">
        <f>IF(Table2[[#This Row],[Etest_P]]&gt;90,Table2[[#This Row],[Adjusted Salary ]]+(Table2[[#This Row],[Adjusted Salary ]]*5%),Table2[[#This Row],[Adjusted Salary ]])</f>
        <v>250000</v>
      </c>
    </row>
    <row r="187" spans="1:18">
      <c r="A187" s="3">
        <v>149</v>
      </c>
      <c r="B187" s="3" t="s">
        <v>30</v>
      </c>
      <c r="C187" s="4">
        <v>77</v>
      </c>
      <c r="D187" s="3" t="s">
        <v>6</v>
      </c>
      <c r="E187" s="5">
        <v>86</v>
      </c>
      <c r="F187" s="3" t="s">
        <v>6</v>
      </c>
      <c r="G187" s="3" t="s">
        <v>10</v>
      </c>
      <c r="H187" s="4">
        <v>56</v>
      </c>
      <c r="I187" s="3" t="s">
        <v>0</v>
      </c>
      <c r="J187" s="3" t="s">
        <v>3</v>
      </c>
      <c r="K187" s="4">
        <v>57</v>
      </c>
      <c r="L187" s="3" t="s">
        <v>9</v>
      </c>
      <c r="M187" s="4">
        <v>64.08</v>
      </c>
      <c r="N187" s="4" t="str">
        <f t="shared" si="2"/>
        <v>First Class</v>
      </c>
      <c r="O187" s="6" t="s">
        <v>5</v>
      </c>
      <c r="P187" s="6" t="str">
        <f>IF(AND(Table2[[#This Row],[Workex]]="Yes",Table2[[#This Row],[Degree_P]]&gt;70%),"High Priority", "Standard")</f>
        <v>Standard</v>
      </c>
      <c r="Q187" s="9">
        <v>240000</v>
      </c>
      <c r="R187" s="17">
        <f>IF(Table2[[#This Row],[Etest_P]]&gt;90,Table2[[#This Row],[Adjusted Salary ]]+(Table2[[#This Row],[Adjusted Salary ]]*5%),Table2[[#This Row],[Adjusted Salary ]])</f>
        <v>240000</v>
      </c>
    </row>
    <row r="188" spans="1:18">
      <c r="A188" s="3">
        <v>181</v>
      </c>
      <c r="B188" s="3" t="s">
        <v>29</v>
      </c>
      <c r="C188" s="4">
        <v>65</v>
      </c>
      <c r="D188" s="3" t="s">
        <v>6</v>
      </c>
      <c r="E188" s="5">
        <v>71.5</v>
      </c>
      <c r="F188" s="3" t="s">
        <v>0</v>
      </c>
      <c r="G188" s="3" t="s">
        <v>1</v>
      </c>
      <c r="H188" s="4">
        <v>62.8</v>
      </c>
      <c r="I188" s="3" t="s">
        <v>11</v>
      </c>
      <c r="J188" s="3" t="s">
        <v>8</v>
      </c>
      <c r="K188" s="4">
        <v>57</v>
      </c>
      <c r="L188" s="3" t="s">
        <v>9</v>
      </c>
      <c r="M188" s="4">
        <v>56.6</v>
      </c>
      <c r="N188" s="4" t="str">
        <f t="shared" si="2"/>
        <v>Pass</v>
      </c>
      <c r="O188" s="6" t="s">
        <v>5</v>
      </c>
      <c r="P188" s="6" t="str">
        <f>IF(AND(Table2[[#This Row],[Workex]]="Yes",Table2[[#This Row],[Degree_P]]&gt;70%),"High Priority", "Standard")</f>
        <v>High Priority</v>
      </c>
      <c r="Q188" s="9">
        <v>265000</v>
      </c>
      <c r="R188" s="17">
        <f>IF(Table2[[#This Row],[Etest_P]]&gt;90,Table2[[#This Row],[Adjusted Salary ]]+(Table2[[#This Row],[Adjusted Salary ]]*5%),Table2[[#This Row],[Adjusted Salary ]])</f>
        <v>265000</v>
      </c>
    </row>
    <row r="189" spans="1:18">
      <c r="A189" s="3">
        <v>189</v>
      </c>
      <c r="B189" s="3" t="s">
        <v>29</v>
      </c>
      <c r="C189" s="4">
        <v>61.8</v>
      </c>
      <c r="D189" s="3" t="s">
        <v>0</v>
      </c>
      <c r="E189" s="5">
        <v>47</v>
      </c>
      <c r="F189" s="3" t="s">
        <v>0</v>
      </c>
      <c r="G189" s="3" t="s">
        <v>1</v>
      </c>
      <c r="H189" s="4">
        <v>54.38</v>
      </c>
      <c r="I189" s="3" t="s">
        <v>11</v>
      </c>
      <c r="J189" s="3" t="s">
        <v>3</v>
      </c>
      <c r="K189" s="4">
        <v>57</v>
      </c>
      <c r="L189" s="3" t="s">
        <v>9</v>
      </c>
      <c r="M189" s="4">
        <v>56.13</v>
      </c>
      <c r="N189" s="4" t="str">
        <f t="shared" si="2"/>
        <v>Pass</v>
      </c>
      <c r="O189" s="6" t="s">
        <v>12</v>
      </c>
      <c r="P189" s="6" t="str">
        <f>IF(AND(Table2[[#This Row],[Workex]]="Yes",Table2[[#This Row],[Degree_P]]&gt;70%),"High Priority", "Standard")</f>
        <v>Standard</v>
      </c>
      <c r="Q189" s="9">
        <v>0</v>
      </c>
      <c r="R189" s="17">
        <f>IF(Table2[[#This Row],[Etest_P]]&gt;90,Table2[[#This Row],[Adjusted Salary ]]+(Table2[[#This Row],[Adjusted Salary ]]*5%),Table2[[#This Row],[Adjusted Salary ]])</f>
        <v>0</v>
      </c>
    </row>
    <row r="190" spans="1:18">
      <c r="A190" s="6">
        <v>101</v>
      </c>
      <c r="B190" s="6" t="s">
        <v>30</v>
      </c>
      <c r="C190" s="7">
        <v>45</v>
      </c>
      <c r="D190" s="6" t="s">
        <v>0</v>
      </c>
      <c r="E190" s="8">
        <v>57</v>
      </c>
      <c r="F190" s="6" t="s">
        <v>0</v>
      </c>
      <c r="G190" s="6" t="s">
        <v>1</v>
      </c>
      <c r="H190" s="7">
        <v>58</v>
      </c>
      <c r="I190" s="6" t="s">
        <v>11</v>
      </c>
      <c r="J190" s="6" t="s">
        <v>8</v>
      </c>
      <c r="K190" s="7">
        <v>56.39</v>
      </c>
      <c r="L190" s="6" t="s">
        <v>4</v>
      </c>
      <c r="M190" s="7">
        <v>64.95</v>
      </c>
      <c r="N190" s="7" t="str">
        <f t="shared" si="2"/>
        <v>First Class</v>
      </c>
      <c r="O190" s="6" t="s">
        <v>12</v>
      </c>
      <c r="P190" s="6" t="str">
        <f>IF(AND(Table2[[#This Row],[Workex]]="Yes",Table2[[#This Row],[Degree_P]]&gt;70%),"High Priority", "Standard")</f>
        <v>High Priority</v>
      </c>
      <c r="Q190" s="10">
        <v>0</v>
      </c>
      <c r="R190" s="17">
        <f>IF(Table2[[#This Row],[Etest_P]]&gt;90,Table2[[#This Row],[Adjusted Salary ]]+(Table2[[#This Row],[Adjusted Salary ]]*5%),Table2[[#This Row],[Adjusted Salary ]])</f>
        <v>0</v>
      </c>
    </row>
    <row r="191" spans="1:18">
      <c r="A191" s="6">
        <v>156</v>
      </c>
      <c r="B191" s="6" t="s">
        <v>29</v>
      </c>
      <c r="C191" s="7">
        <v>51.57</v>
      </c>
      <c r="D191" s="6" t="s">
        <v>0</v>
      </c>
      <c r="E191" s="8">
        <v>74.66</v>
      </c>
      <c r="F191" s="6" t="s">
        <v>0</v>
      </c>
      <c r="G191" s="6" t="s">
        <v>1</v>
      </c>
      <c r="H191" s="7">
        <v>59.9</v>
      </c>
      <c r="I191" s="6" t="s">
        <v>11</v>
      </c>
      <c r="J191" s="6" t="s">
        <v>8</v>
      </c>
      <c r="K191" s="7">
        <v>56.15</v>
      </c>
      <c r="L191" s="6" t="s">
        <v>4</v>
      </c>
      <c r="M191" s="7">
        <v>65.989999999999995</v>
      </c>
      <c r="N191" s="7" t="str">
        <f t="shared" si="2"/>
        <v>First Class</v>
      </c>
      <c r="O191" s="6" t="s">
        <v>12</v>
      </c>
      <c r="P191" s="6" t="str">
        <f>IF(AND(Table2[[#This Row],[Workex]]="Yes",Table2[[#This Row],[Degree_P]]&gt;70%),"High Priority", "Standard")</f>
        <v>High Priority</v>
      </c>
      <c r="Q191" s="10">
        <v>0</v>
      </c>
      <c r="R191" s="17">
        <f>IF(Table2[[#This Row],[Etest_P]]&gt;90,Table2[[#This Row],[Adjusted Salary ]]+(Table2[[#This Row],[Adjusted Salary ]]*5%),Table2[[#This Row],[Adjusted Salary ]])</f>
        <v>0</v>
      </c>
    </row>
    <row r="192" spans="1:18">
      <c r="A192" s="6">
        <v>138</v>
      </c>
      <c r="B192" s="6" t="s">
        <v>29</v>
      </c>
      <c r="C192" s="7">
        <v>67</v>
      </c>
      <c r="D192" s="6" t="s">
        <v>0</v>
      </c>
      <c r="E192" s="8">
        <v>63</v>
      </c>
      <c r="F192" s="6" t="s">
        <v>6</v>
      </c>
      <c r="G192" s="6" t="s">
        <v>1</v>
      </c>
      <c r="H192" s="7">
        <v>72</v>
      </c>
      <c r="I192" s="6" t="s">
        <v>11</v>
      </c>
      <c r="J192" s="6" t="s">
        <v>3</v>
      </c>
      <c r="K192" s="7">
        <v>56</v>
      </c>
      <c r="L192" s="6" t="s">
        <v>4</v>
      </c>
      <c r="M192" s="7">
        <v>60.41</v>
      </c>
      <c r="N192" s="7" t="str">
        <f t="shared" si="2"/>
        <v>First Class</v>
      </c>
      <c r="O192" s="6" t="s">
        <v>5</v>
      </c>
      <c r="P192" s="6" t="str">
        <f>IF(AND(Table2[[#This Row],[Workex]]="Yes",Table2[[#This Row],[Degree_P]]&gt;70%),"High Priority", "Standard")</f>
        <v>Standard</v>
      </c>
      <c r="Q192" s="10">
        <v>225000</v>
      </c>
      <c r="R192" s="17">
        <f>IF(Table2[[#This Row],[Etest_P]]&gt;90,Table2[[#This Row],[Adjusted Salary ]]+(Table2[[#This Row],[Adjusted Salary ]]*5%),Table2[[#This Row],[Adjusted Salary ]])</f>
        <v>225000</v>
      </c>
    </row>
    <row r="193" spans="1:18">
      <c r="A193" s="6">
        <v>141</v>
      </c>
      <c r="B193" s="6" t="s">
        <v>29</v>
      </c>
      <c r="C193" s="7">
        <v>65</v>
      </c>
      <c r="D193" s="6" t="s">
        <v>6</v>
      </c>
      <c r="E193" s="8">
        <v>64.8</v>
      </c>
      <c r="F193" s="6" t="s">
        <v>0</v>
      </c>
      <c r="G193" s="6" t="s">
        <v>1</v>
      </c>
      <c r="H193" s="7">
        <v>69.5</v>
      </c>
      <c r="I193" s="6" t="s">
        <v>11</v>
      </c>
      <c r="J193" s="6" t="s">
        <v>8</v>
      </c>
      <c r="K193" s="7">
        <v>56</v>
      </c>
      <c r="L193" s="6" t="s">
        <v>9</v>
      </c>
      <c r="M193" s="7">
        <v>56.94</v>
      </c>
      <c r="N193" s="7" t="str">
        <f t="shared" si="2"/>
        <v>Pass</v>
      </c>
      <c r="O193" s="6" t="s">
        <v>5</v>
      </c>
      <c r="P193" s="6" t="str">
        <f>IF(AND(Table2[[#This Row],[Workex]]="Yes",Table2[[#This Row],[Degree_P]]&gt;70%),"High Priority", "Standard")</f>
        <v>High Priority</v>
      </c>
      <c r="Q193" s="10">
        <v>265000</v>
      </c>
      <c r="R193" s="17">
        <f>IF(Table2[[#This Row],[Etest_P]]&gt;90,Table2[[#This Row],[Adjusted Salary ]]+(Table2[[#This Row],[Adjusted Salary ]]*5%),Table2[[#This Row],[Adjusted Salary ]])</f>
        <v>265000</v>
      </c>
    </row>
    <row r="194" spans="1:18">
      <c r="A194" s="3">
        <v>151</v>
      </c>
      <c r="B194" s="3" t="s">
        <v>29</v>
      </c>
      <c r="C194" s="4">
        <v>71</v>
      </c>
      <c r="D194" s="3" t="s">
        <v>6</v>
      </c>
      <c r="E194" s="5">
        <v>58.66</v>
      </c>
      <c r="F194" s="3" t="s">
        <v>6</v>
      </c>
      <c r="G194" s="3" t="s">
        <v>7</v>
      </c>
      <c r="H194" s="4">
        <v>58</v>
      </c>
      <c r="I194" s="3" t="s">
        <v>2</v>
      </c>
      <c r="J194" s="3" t="s">
        <v>8</v>
      </c>
      <c r="K194" s="4">
        <v>56</v>
      </c>
      <c r="L194" s="3" t="s">
        <v>9</v>
      </c>
      <c r="M194" s="4">
        <v>61.3</v>
      </c>
      <c r="N194" s="4" t="str">
        <f t="shared" ref="N194:N257" si="3">IF(M194&gt;75,"Distinction",IF(M194&gt;60,"First Class","Pass"))</f>
        <v>First Class</v>
      </c>
      <c r="O194" s="6" t="s">
        <v>5</v>
      </c>
      <c r="P194" s="6" t="str">
        <f>IF(AND(Table2[[#This Row],[Workex]]="Yes",Table2[[#This Row],[Degree_P]]&gt;70%),"High Priority", "Standard")</f>
        <v>High Priority</v>
      </c>
      <c r="Q194" s="9">
        <v>690000</v>
      </c>
      <c r="R194" s="17">
        <f>IF(Table2[[#This Row],[Etest_P]]&gt;90,Table2[[#This Row],[Adjusted Salary ]]+(Table2[[#This Row],[Adjusted Salary ]]*5%),Table2[[#This Row],[Adjusted Salary ]])</f>
        <v>690000</v>
      </c>
    </row>
    <row r="195" spans="1:18">
      <c r="A195" s="6">
        <v>122</v>
      </c>
      <c r="B195" s="6" t="s">
        <v>30</v>
      </c>
      <c r="C195" s="7">
        <v>64</v>
      </c>
      <c r="D195" s="6" t="s">
        <v>6</v>
      </c>
      <c r="E195" s="8">
        <v>67</v>
      </c>
      <c r="F195" s="6" t="s">
        <v>0</v>
      </c>
      <c r="G195" s="6" t="s">
        <v>7</v>
      </c>
      <c r="H195" s="7">
        <v>69.599999999999994</v>
      </c>
      <c r="I195" s="6" t="s">
        <v>2</v>
      </c>
      <c r="J195" s="6" t="s">
        <v>8</v>
      </c>
      <c r="K195" s="7">
        <v>55.67</v>
      </c>
      <c r="L195" s="6" t="s">
        <v>4</v>
      </c>
      <c r="M195" s="7">
        <v>71.489999999999995</v>
      </c>
      <c r="N195" s="7" t="str">
        <f t="shared" si="3"/>
        <v>First Class</v>
      </c>
      <c r="O195" s="6" t="s">
        <v>5</v>
      </c>
      <c r="P195" s="6" t="str">
        <f>IF(AND(Table2[[#This Row],[Workex]]="Yes",Table2[[#This Row],[Degree_P]]&gt;70%),"High Priority", "Standard")</f>
        <v>High Priority</v>
      </c>
      <c r="Q195" s="10">
        <v>250000</v>
      </c>
      <c r="R195" s="17">
        <f>IF(Table2[[#This Row],[Etest_P]]&gt;90,Table2[[#This Row],[Adjusted Salary ]]+(Table2[[#This Row],[Adjusted Salary ]]*5%),Table2[[#This Row],[Adjusted Salary ]])</f>
        <v>250000</v>
      </c>
    </row>
    <row r="196" spans="1:18">
      <c r="A196" s="3">
        <v>136</v>
      </c>
      <c r="B196" s="3" t="s">
        <v>30</v>
      </c>
      <c r="C196" s="4">
        <v>72</v>
      </c>
      <c r="D196" s="3" t="s">
        <v>6</v>
      </c>
      <c r="E196" s="5">
        <v>56</v>
      </c>
      <c r="F196" s="3" t="s">
        <v>0</v>
      </c>
      <c r="G196" s="3" t="s">
        <v>7</v>
      </c>
      <c r="H196" s="4">
        <v>69</v>
      </c>
      <c r="I196" s="3" t="s">
        <v>11</v>
      </c>
      <c r="J196" s="3" t="s">
        <v>3</v>
      </c>
      <c r="K196" s="4">
        <v>55.6</v>
      </c>
      <c r="L196" s="3" t="s">
        <v>4</v>
      </c>
      <c r="M196" s="4">
        <v>65.63</v>
      </c>
      <c r="N196" s="4" t="str">
        <f t="shared" si="3"/>
        <v>First Class</v>
      </c>
      <c r="O196" s="6" t="s">
        <v>5</v>
      </c>
      <c r="P196" s="6" t="str">
        <f>IF(AND(Table2[[#This Row],[Workex]]="Yes",Table2[[#This Row],[Degree_P]]&gt;70%),"High Priority", "Standard")</f>
        <v>Standard</v>
      </c>
      <c r="Q196" s="9">
        <v>200000</v>
      </c>
      <c r="R196" s="17">
        <f>IF(Table2[[#This Row],[Etest_P]]&gt;90,Table2[[#This Row],[Adjusted Salary ]]+(Table2[[#This Row],[Adjusted Salary ]]*5%),Table2[[#This Row],[Adjusted Salary ]])</f>
        <v>200000</v>
      </c>
    </row>
    <row r="197" spans="1:18">
      <c r="A197" s="6">
        <v>23</v>
      </c>
      <c r="B197" s="6" t="s">
        <v>30</v>
      </c>
      <c r="C197" s="7">
        <v>69.8</v>
      </c>
      <c r="D197" s="6" t="s">
        <v>0</v>
      </c>
      <c r="E197" s="8">
        <v>60.8</v>
      </c>
      <c r="F197" s="6" t="s">
        <v>0</v>
      </c>
      <c r="G197" s="6" t="s">
        <v>7</v>
      </c>
      <c r="H197" s="7">
        <v>72.23</v>
      </c>
      <c r="I197" s="6" t="s">
        <v>2</v>
      </c>
      <c r="J197" s="6" t="s">
        <v>3</v>
      </c>
      <c r="K197" s="7">
        <v>55.53</v>
      </c>
      <c r="L197" s="6" t="s">
        <v>4</v>
      </c>
      <c r="M197" s="7">
        <v>68.81</v>
      </c>
      <c r="N197" s="7" t="str">
        <f t="shared" si="3"/>
        <v>First Class</v>
      </c>
      <c r="O197" s="6" t="s">
        <v>5</v>
      </c>
      <c r="P197" s="6" t="str">
        <f>IF(AND(Table2[[#This Row],[Workex]]="Yes",Table2[[#This Row],[Degree_P]]&gt;70%),"High Priority", "Standard")</f>
        <v>Standard</v>
      </c>
      <c r="Q197" s="10">
        <v>360000</v>
      </c>
      <c r="R197" s="17">
        <f>IF(Table2[[#This Row],[Etest_P]]&gt;90,Table2[[#This Row],[Adjusted Salary ]]+(Table2[[#This Row],[Adjusted Salary ]]*5%),Table2[[#This Row],[Adjusted Salary ]])</f>
        <v>360000</v>
      </c>
    </row>
    <row r="198" spans="1:18">
      <c r="A198" s="6">
        <v>128</v>
      </c>
      <c r="B198" s="6" t="s">
        <v>30</v>
      </c>
      <c r="C198" s="7">
        <v>72</v>
      </c>
      <c r="D198" s="6" t="s">
        <v>0</v>
      </c>
      <c r="E198" s="8">
        <v>60</v>
      </c>
      <c r="F198" s="6" t="s">
        <v>0</v>
      </c>
      <c r="G198" s="6" t="s">
        <v>7</v>
      </c>
      <c r="H198" s="7">
        <v>69</v>
      </c>
      <c r="I198" s="6" t="s">
        <v>11</v>
      </c>
      <c r="J198" s="6" t="s">
        <v>3</v>
      </c>
      <c r="K198" s="7">
        <v>55.5</v>
      </c>
      <c r="L198" s="6" t="s">
        <v>4</v>
      </c>
      <c r="M198" s="7">
        <v>58.4</v>
      </c>
      <c r="N198" s="7" t="str">
        <f t="shared" si="3"/>
        <v>Pass</v>
      </c>
      <c r="O198" s="6" t="s">
        <v>5</v>
      </c>
      <c r="P198" s="6" t="str">
        <f>IF(AND(Table2[[#This Row],[Workex]]="Yes",Table2[[#This Row],[Degree_P]]&gt;70%),"High Priority", "Standard")</f>
        <v>Standard</v>
      </c>
      <c r="Q198" s="10">
        <v>250000</v>
      </c>
      <c r="R198" s="17">
        <f>IF(Table2[[#This Row],[Etest_P]]&gt;90,Table2[[#This Row],[Adjusted Salary ]]+(Table2[[#This Row],[Adjusted Salary ]]*5%),Table2[[#This Row],[Adjusted Salary ]])</f>
        <v>250000</v>
      </c>
    </row>
    <row r="199" spans="1:18">
      <c r="A199" s="6">
        <v>1</v>
      </c>
      <c r="B199" s="6" t="s">
        <v>29</v>
      </c>
      <c r="C199" s="7">
        <v>67</v>
      </c>
      <c r="D199" s="6" t="s">
        <v>0</v>
      </c>
      <c r="E199" s="8">
        <v>91</v>
      </c>
      <c r="F199" s="6" t="s">
        <v>0</v>
      </c>
      <c r="G199" s="6" t="s">
        <v>1</v>
      </c>
      <c r="H199" s="7">
        <v>58</v>
      </c>
      <c r="I199" s="6" t="s">
        <v>2</v>
      </c>
      <c r="J199" s="6" t="s">
        <v>3</v>
      </c>
      <c r="K199" s="7">
        <v>55</v>
      </c>
      <c r="L199" s="6" t="s">
        <v>4</v>
      </c>
      <c r="M199" s="7">
        <v>58.8</v>
      </c>
      <c r="N199" s="7" t="str">
        <f t="shared" si="3"/>
        <v>Pass</v>
      </c>
      <c r="O199" s="6" t="s">
        <v>5</v>
      </c>
      <c r="P199" s="6" t="str">
        <f>IF(AND(Table2[[#This Row],[Workex]]="Yes",Table2[[#This Row],[Degree_P]]&gt;70%),"High Priority", "Standard")</f>
        <v>Standard</v>
      </c>
      <c r="Q199" s="10">
        <v>270000</v>
      </c>
      <c r="R199" s="17">
        <f>IF(Table2[[#This Row],[Etest_P]]&gt;90,Table2[[#This Row],[Adjusted Salary ]]+(Table2[[#This Row],[Adjusted Salary ]]*5%),Table2[[#This Row],[Adjusted Salary ]])</f>
        <v>270000</v>
      </c>
    </row>
    <row r="200" spans="1:18">
      <c r="A200" s="6">
        <v>6</v>
      </c>
      <c r="B200" s="6" t="s">
        <v>29</v>
      </c>
      <c r="C200" s="7">
        <v>55</v>
      </c>
      <c r="D200" s="6" t="s">
        <v>0</v>
      </c>
      <c r="E200" s="8">
        <v>49.8</v>
      </c>
      <c r="F200" s="6" t="s">
        <v>0</v>
      </c>
      <c r="G200" s="6" t="s">
        <v>7</v>
      </c>
      <c r="H200" s="7">
        <v>67.25</v>
      </c>
      <c r="I200" s="6" t="s">
        <v>2</v>
      </c>
      <c r="J200" s="6" t="s">
        <v>8</v>
      </c>
      <c r="K200" s="7">
        <v>55</v>
      </c>
      <c r="L200" s="6" t="s">
        <v>9</v>
      </c>
      <c r="M200" s="7">
        <v>51.58</v>
      </c>
      <c r="N200" s="7" t="str">
        <f t="shared" si="3"/>
        <v>Pass</v>
      </c>
      <c r="O200" s="6" t="s">
        <v>12</v>
      </c>
      <c r="P200" s="6" t="str">
        <f>IF(AND(Table2[[#This Row],[Workex]]="Yes",Table2[[#This Row],[Degree_P]]&gt;70%),"High Priority", "Standard")</f>
        <v>High Priority</v>
      </c>
      <c r="Q200" s="10">
        <v>0</v>
      </c>
      <c r="R200" s="17">
        <f>IF(Table2[[#This Row],[Etest_P]]&gt;90,Table2[[#This Row],[Adjusted Salary ]]+(Table2[[#This Row],[Adjusted Salary ]]*5%),Table2[[#This Row],[Adjusted Salary ]])</f>
        <v>0</v>
      </c>
    </row>
    <row r="201" spans="1:18">
      <c r="A201" s="3">
        <v>85</v>
      </c>
      <c r="B201" s="3" t="s">
        <v>29</v>
      </c>
      <c r="C201" s="4">
        <v>70</v>
      </c>
      <c r="D201" s="3" t="s">
        <v>6</v>
      </c>
      <c r="E201" s="5">
        <v>63</v>
      </c>
      <c r="F201" s="3" t="s">
        <v>0</v>
      </c>
      <c r="G201" s="3" t="s">
        <v>7</v>
      </c>
      <c r="H201" s="4">
        <v>70</v>
      </c>
      <c r="I201" s="3" t="s">
        <v>2</v>
      </c>
      <c r="J201" s="3" t="s">
        <v>8</v>
      </c>
      <c r="K201" s="4">
        <v>55</v>
      </c>
      <c r="L201" s="3" t="s">
        <v>9</v>
      </c>
      <c r="M201" s="4">
        <v>62</v>
      </c>
      <c r="N201" s="4" t="str">
        <f t="shared" si="3"/>
        <v>First Class</v>
      </c>
      <c r="O201" s="6" t="s">
        <v>5</v>
      </c>
      <c r="P201" s="6" t="str">
        <f>IF(AND(Table2[[#This Row],[Workex]]="Yes",Table2[[#This Row],[Degree_P]]&gt;70%),"High Priority", "Standard")</f>
        <v>High Priority</v>
      </c>
      <c r="Q201" s="9">
        <v>300000</v>
      </c>
      <c r="R201" s="17">
        <f>IF(Table2[[#This Row],[Etest_P]]&gt;90,Table2[[#This Row],[Adjusted Salary ]]+(Table2[[#This Row],[Adjusted Salary ]]*5%),Table2[[#This Row],[Adjusted Salary ]])</f>
        <v>300000</v>
      </c>
    </row>
    <row r="202" spans="1:18">
      <c r="A202" s="3">
        <v>105</v>
      </c>
      <c r="B202" s="3" t="s">
        <v>29</v>
      </c>
      <c r="C202" s="4">
        <v>69</v>
      </c>
      <c r="D202" s="3" t="s">
        <v>6</v>
      </c>
      <c r="E202" s="5">
        <v>63</v>
      </c>
      <c r="F202" s="3" t="s">
        <v>0</v>
      </c>
      <c r="G202" s="3" t="s">
        <v>7</v>
      </c>
      <c r="H202" s="4">
        <v>65</v>
      </c>
      <c r="I202" s="3" t="s">
        <v>11</v>
      </c>
      <c r="J202" s="3" t="s">
        <v>8</v>
      </c>
      <c r="K202" s="4">
        <v>55</v>
      </c>
      <c r="L202" s="3" t="s">
        <v>4</v>
      </c>
      <c r="M202" s="4">
        <v>58.23</v>
      </c>
      <c r="N202" s="4" t="str">
        <f t="shared" si="3"/>
        <v>Pass</v>
      </c>
      <c r="O202" s="6" t="s">
        <v>5</v>
      </c>
      <c r="P202" s="6" t="str">
        <f>IF(AND(Table2[[#This Row],[Workex]]="Yes",Table2[[#This Row],[Degree_P]]&gt;70%),"High Priority", "Standard")</f>
        <v>High Priority</v>
      </c>
      <c r="Q202" s="9">
        <v>360000</v>
      </c>
      <c r="R202" s="17">
        <f>IF(Table2[[#This Row],[Etest_P]]&gt;90,Table2[[#This Row],[Adjusted Salary ]]+(Table2[[#This Row],[Adjusted Salary ]]*5%),Table2[[#This Row],[Adjusted Salary ]])</f>
        <v>360000</v>
      </c>
    </row>
    <row r="203" spans="1:18">
      <c r="A203" s="3">
        <v>177</v>
      </c>
      <c r="B203" s="3" t="s">
        <v>30</v>
      </c>
      <c r="C203" s="4">
        <v>59</v>
      </c>
      <c r="D203" s="3" t="s">
        <v>6</v>
      </c>
      <c r="E203" s="5">
        <v>60</v>
      </c>
      <c r="F203" s="3" t="s">
        <v>0</v>
      </c>
      <c r="G203" s="3" t="s">
        <v>1</v>
      </c>
      <c r="H203" s="4">
        <v>56</v>
      </c>
      <c r="I203" s="3" t="s">
        <v>11</v>
      </c>
      <c r="J203" s="3" t="s">
        <v>3</v>
      </c>
      <c r="K203" s="4">
        <v>55</v>
      </c>
      <c r="L203" s="3" t="s">
        <v>4</v>
      </c>
      <c r="M203" s="4">
        <v>57.9</v>
      </c>
      <c r="N203" s="4" t="str">
        <f t="shared" si="3"/>
        <v>Pass</v>
      </c>
      <c r="O203" s="6" t="s">
        <v>5</v>
      </c>
      <c r="P203" s="6" t="str">
        <f>IF(AND(Table2[[#This Row],[Workex]]="Yes",Table2[[#This Row],[Degree_P]]&gt;70%),"High Priority", "Standard")</f>
        <v>Standard</v>
      </c>
      <c r="Q203" s="9">
        <v>220000</v>
      </c>
      <c r="R203" s="17">
        <f>IF(Table2[[#This Row],[Etest_P]]&gt;90,Table2[[#This Row],[Adjusted Salary ]]+(Table2[[#This Row],[Adjusted Salary ]]*5%),Table2[[#This Row],[Adjusted Salary ]])</f>
        <v>220000</v>
      </c>
    </row>
    <row r="204" spans="1:18">
      <c r="A204" s="6">
        <v>187</v>
      </c>
      <c r="B204" s="6" t="s">
        <v>30</v>
      </c>
      <c r="C204" s="7">
        <v>52</v>
      </c>
      <c r="D204" s="6" t="s">
        <v>6</v>
      </c>
      <c r="E204" s="8">
        <v>64</v>
      </c>
      <c r="F204" s="6" t="s">
        <v>6</v>
      </c>
      <c r="G204" s="6" t="s">
        <v>1</v>
      </c>
      <c r="H204" s="7">
        <v>61</v>
      </c>
      <c r="I204" s="6" t="s">
        <v>11</v>
      </c>
      <c r="J204" s="6" t="s">
        <v>3</v>
      </c>
      <c r="K204" s="7">
        <v>55</v>
      </c>
      <c r="L204" s="6" t="s">
        <v>9</v>
      </c>
      <c r="M204" s="7">
        <v>62.93</v>
      </c>
      <c r="N204" s="7" t="str">
        <f t="shared" si="3"/>
        <v>First Class</v>
      </c>
      <c r="O204" s="6" t="s">
        <v>12</v>
      </c>
      <c r="P204" s="6" t="str">
        <f>IF(AND(Table2[[#This Row],[Workex]]="Yes",Table2[[#This Row],[Degree_P]]&gt;70%),"High Priority", "Standard")</f>
        <v>Standard</v>
      </c>
      <c r="Q204" s="10">
        <v>0</v>
      </c>
      <c r="R204" s="17">
        <f>IF(Table2[[#This Row],[Etest_P]]&gt;90,Table2[[#This Row],[Adjusted Salary ]]+(Table2[[#This Row],[Adjusted Salary ]]*5%),Table2[[#This Row],[Adjusted Salary ]])</f>
        <v>0</v>
      </c>
    </row>
    <row r="205" spans="1:18">
      <c r="A205" s="3">
        <v>170</v>
      </c>
      <c r="B205" s="3" t="s">
        <v>29</v>
      </c>
      <c r="C205" s="4">
        <v>59.96</v>
      </c>
      <c r="D205" s="3" t="s">
        <v>0</v>
      </c>
      <c r="E205" s="5">
        <v>42.16</v>
      </c>
      <c r="F205" s="3" t="s">
        <v>0</v>
      </c>
      <c r="G205" s="3" t="s">
        <v>7</v>
      </c>
      <c r="H205" s="4">
        <v>61.26</v>
      </c>
      <c r="I205" s="3" t="s">
        <v>2</v>
      </c>
      <c r="J205" s="3" t="s">
        <v>3</v>
      </c>
      <c r="K205" s="4">
        <v>54.48</v>
      </c>
      <c r="L205" s="3" t="s">
        <v>4</v>
      </c>
      <c r="M205" s="4">
        <v>65.48</v>
      </c>
      <c r="N205" s="4" t="str">
        <f t="shared" si="3"/>
        <v>First Class</v>
      </c>
      <c r="O205" s="6" t="s">
        <v>12</v>
      </c>
      <c r="P205" s="6" t="str">
        <f>IF(AND(Table2[[#This Row],[Workex]]="Yes",Table2[[#This Row],[Degree_P]]&gt;70%),"High Priority", "Standard")</f>
        <v>Standard</v>
      </c>
      <c r="Q205" s="9">
        <v>0</v>
      </c>
      <c r="R205" s="17">
        <f>IF(Table2[[#This Row],[Etest_P]]&gt;90,Table2[[#This Row],[Adjusted Salary ]]+(Table2[[#This Row],[Adjusted Salary ]]*5%),Table2[[#This Row],[Adjusted Salary ]])</f>
        <v>0</v>
      </c>
    </row>
    <row r="206" spans="1:18">
      <c r="A206" s="6">
        <v>10</v>
      </c>
      <c r="B206" s="6" t="s">
        <v>29</v>
      </c>
      <c r="C206" s="7">
        <v>58</v>
      </c>
      <c r="D206" s="6" t="s">
        <v>6</v>
      </c>
      <c r="E206" s="8">
        <v>70</v>
      </c>
      <c r="F206" s="6" t="s">
        <v>6</v>
      </c>
      <c r="G206" s="6" t="s">
        <v>1</v>
      </c>
      <c r="H206" s="7">
        <v>61</v>
      </c>
      <c r="I206" s="6" t="s">
        <v>11</v>
      </c>
      <c r="J206" s="6" t="s">
        <v>3</v>
      </c>
      <c r="K206" s="7">
        <v>54</v>
      </c>
      <c r="L206" s="6" t="s">
        <v>9</v>
      </c>
      <c r="M206" s="7">
        <v>52.21</v>
      </c>
      <c r="N206" s="7" t="str">
        <f t="shared" si="3"/>
        <v>Pass</v>
      </c>
      <c r="O206" s="6" t="s">
        <v>12</v>
      </c>
      <c r="P206" s="6" t="str">
        <f>IF(AND(Table2[[#This Row],[Workex]]="Yes",Table2[[#This Row],[Degree_P]]&gt;70%),"High Priority", "Standard")</f>
        <v>Standard</v>
      </c>
      <c r="Q206" s="10">
        <v>0</v>
      </c>
      <c r="R206" s="17">
        <f>IF(Table2[[#This Row],[Etest_P]]&gt;90,Table2[[#This Row],[Adjusted Salary ]]+(Table2[[#This Row],[Adjusted Salary ]]*5%),Table2[[#This Row],[Adjusted Salary ]])</f>
        <v>0</v>
      </c>
    </row>
    <row r="207" spans="1:18">
      <c r="A207" s="3">
        <v>95</v>
      </c>
      <c r="B207" s="3" t="s">
        <v>29</v>
      </c>
      <c r="C207" s="4">
        <v>58</v>
      </c>
      <c r="D207" s="3" t="s">
        <v>6</v>
      </c>
      <c r="E207" s="5">
        <v>62</v>
      </c>
      <c r="F207" s="3" t="s">
        <v>6</v>
      </c>
      <c r="G207" s="3" t="s">
        <v>1</v>
      </c>
      <c r="H207" s="4">
        <v>64</v>
      </c>
      <c r="I207" s="3" t="s">
        <v>11</v>
      </c>
      <c r="J207" s="3" t="s">
        <v>3</v>
      </c>
      <c r="K207" s="4">
        <v>53.88</v>
      </c>
      <c r="L207" s="3" t="s">
        <v>9</v>
      </c>
      <c r="M207" s="4">
        <v>54.97</v>
      </c>
      <c r="N207" s="4" t="str">
        <f t="shared" si="3"/>
        <v>Pass</v>
      </c>
      <c r="O207" s="6" t="s">
        <v>5</v>
      </c>
      <c r="P207" s="6" t="str">
        <f>IF(AND(Table2[[#This Row],[Workex]]="Yes",Table2[[#This Row],[Degree_P]]&gt;70%),"High Priority", "Standard")</f>
        <v>Standard</v>
      </c>
      <c r="Q207" s="9">
        <v>260000</v>
      </c>
      <c r="R207" s="17">
        <f>IF(Table2[[#This Row],[Etest_P]]&gt;90,Table2[[#This Row],[Adjusted Salary ]]+(Table2[[#This Row],[Adjusted Salary ]]*5%),Table2[[#This Row],[Adjusted Salary ]])</f>
        <v>260000</v>
      </c>
    </row>
    <row r="208" spans="1:18">
      <c r="A208" s="6">
        <v>39</v>
      </c>
      <c r="B208" s="6" t="s">
        <v>30</v>
      </c>
      <c r="C208" s="7">
        <v>73</v>
      </c>
      <c r="D208" s="6" t="s">
        <v>0</v>
      </c>
      <c r="E208" s="8">
        <v>58</v>
      </c>
      <c r="F208" s="6" t="s">
        <v>0</v>
      </c>
      <c r="G208" s="6" t="s">
        <v>7</v>
      </c>
      <c r="H208" s="7">
        <v>66</v>
      </c>
      <c r="I208" s="6" t="s">
        <v>11</v>
      </c>
      <c r="J208" s="6" t="s">
        <v>3</v>
      </c>
      <c r="K208" s="7">
        <v>53.7</v>
      </c>
      <c r="L208" s="6" t="s">
        <v>4</v>
      </c>
      <c r="M208" s="7">
        <v>56.86</v>
      </c>
      <c r="N208" s="7" t="str">
        <f t="shared" si="3"/>
        <v>Pass</v>
      </c>
      <c r="O208" s="6" t="s">
        <v>5</v>
      </c>
      <c r="P208" s="6" t="str">
        <f>IF(AND(Table2[[#This Row],[Workex]]="Yes",Table2[[#This Row],[Degree_P]]&gt;70%),"High Priority", "Standard")</f>
        <v>Standard</v>
      </c>
      <c r="Q208" s="10">
        <v>240000</v>
      </c>
      <c r="R208" s="17">
        <f>IF(Table2[[#This Row],[Etest_P]]&gt;90,Table2[[#This Row],[Adjusted Salary ]]+(Table2[[#This Row],[Adjusted Salary ]]*5%),Table2[[#This Row],[Adjusted Salary ]])</f>
        <v>240000</v>
      </c>
    </row>
    <row r="209" spans="1:18">
      <c r="A209" s="6">
        <v>115</v>
      </c>
      <c r="B209" s="6" t="s">
        <v>29</v>
      </c>
      <c r="C209" s="7">
        <v>65</v>
      </c>
      <c r="D209" s="6" t="s">
        <v>6</v>
      </c>
      <c r="E209" s="8">
        <v>68</v>
      </c>
      <c r="F209" s="6" t="s">
        <v>0</v>
      </c>
      <c r="G209" s="6" t="s">
        <v>7</v>
      </c>
      <c r="H209" s="7">
        <v>69</v>
      </c>
      <c r="I209" s="6" t="s">
        <v>11</v>
      </c>
      <c r="J209" s="6" t="s">
        <v>3</v>
      </c>
      <c r="K209" s="7">
        <v>53.7</v>
      </c>
      <c r="L209" s="6" t="s">
        <v>4</v>
      </c>
      <c r="M209" s="7">
        <v>55.01</v>
      </c>
      <c r="N209" s="7" t="str">
        <f t="shared" si="3"/>
        <v>Pass</v>
      </c>
      <c r="O209" s="6" t="s">
        <v>5</v>
      </c>
      <c r="P209" s="6" t="str">
        <f>IF(AND(Table2[[#This Row],[Workex]]="Yes",Table2[[#This Row],[Degree_P]]&gt;70%),"High Priority", "Standard")</f>
        <v>Standard</v>
      </c>
      <c r="Q209" s="10">
        <v>250000</v>
      </c>
      <c r="R209" s="17">
        <f>IF(Table2[[#This Row],[Etest_P]]&gt;90,Table2[[#This Row],[Adjusted Salary ]]+(Table2[[#This Row],[Adjusted Salary ]]*5%),Table2[[#This Row],[Adjusted Salary ]])</f>
        <v>250000</v>
      </c>
    </row>
    <row r="210" spans="1:18">
      <c r="A210" s="6">
        <v>165</v>
      </c>
      <c r="B210" s="6" t="s">
        <v>30</v>
      </c>
      <c r="C210" s="7">
        <v>67.16</v>
      </c>
      <c r="D210" s="6" t="s">
        <v>6</v>
      </c>
      <c r="E210" s="8">
        <v>72.5</v>
      </c>
      <c r="F210" s="6" t="s">
        <v>6</v>
      </c>
      <c r="G210" s="6" t="s">
        <v>1</v>
      </c>
      <c r="H210" s="7">
        <v>63.35</v>
      </c>
      <c r="I210" s="6" t="s">
        <v>11</v>
      </c>
      <c r="J210" s="6" t="s">
        <v>3</v>
      </c>
      <c r="K210" s="7">
        <v>53.04</v>
      </c>
      <c r="L210" s="6" t="s">
        <v>9</v>
      </c>
      <c r="M210" s="7">
        <v>65.52</v>
      </c>
      <c r="N210" s="7" t="str">
        <f t="shared" si="3"/>
        <v>First Class</v>
      </c>
      <c r="O210" s="6" t="s">
        <v>5</v>
      </c>
      <c r="P210" s="6" t="str">
        <f>IF(AND(Table2[[#This Row],[Workex]]="Yes",Table2[[#This Row],[Degree_P]]&gt;70%),"High Priority", "Standard")</f>
        <v>Standard</v>
      </c>
      <c r="Q210" s="10">
        <v>250000</v>
      </c>
      <c r="R210" s="17">
        <f>IF(Table2[[#This Row],[Etest_P]]&gt;90,Table2[[#This Row],[Adjusted Salary ]]+(Table2[[#This Row],[Adjusted Salary ]]*5%),Table2[[#This Row],[Adjusted Salary ]])</f>
        <v>250000</v>
      </c>
    </row>
    <row r="211" spans="1:18">
      <c r="A211" s="3">
        <v>31</v>
      </c>
      <c r="B211" s="3" t="s">
        <v>30</v>
      </c>
      <c r="C211" s="4">
        <v>64</v>
      </c>
      <c r="D211" s="3" t="s">
        <v>6</v>
      </c>
      <c r="E211" s="5">
        <v>73.5</v>
      </c>
      <c r="F211" s="3" t="s">
        <v>6</v>
      </c>
      <c r="G211" s="3" t="s">
        <v>1</v>
      </c>
      <c r="H211" s="4">
        <v>73</v>
      </c>
      <c r="I211" s="3" t="s">
        <v>11</v>
      </c>
      <c r="J211" s="3" t="s">
        <v>3</v>
      </c>
      <c r="K211" s="4">
        <v>52</v>
      </c>
      <c r="L211" s="3" t="s">
        <v>4</v>
      </c>
      <c r="M211" s="4">
        <v>56.7</v>
      </c>
      <c r="N211" s="4" t="str">
        <f t="shared" si="3"/>
        <v>Pass</v>
      </c>
      <c r="O211" s="6" t="s">
        <v>5</v>
      </c>
      <c r="P211" s="6" t="str">
        <f>IF(AND(Table2[[#This Row],[Workex]]="Yes",Table2[[#This Row],[Degree_P]]&gt;70%),"High Priority", "Standard")</f>
        <v>Standard</v>
      </c>
      <c r="Q211" s="9">
        <v>250000</v>
      </c>
      <c r="R211" s="17">
        <f>IF(Table2[[#This Row],[Etest_P]]&gt;90,Table2[[#This Row],[Adjusted Salary ]]+(Table2[[#This Row],[Adjusted Salary ]]*5%),Table2[[#This Row],[Adjusted Salary ]])</f>
        <v>250000</v>
      </c>
    </row>
    <row r="212" spans="1:18">
      <c r="A212" s="6">
        <v>33</v>
      </c>
      <c r="B212" s="6" t="s">
        <v>30</v>
      </c>
      <c r="C212" s="7">
        <v>61</v>
      </c>
      <c r="D212" s="6" t="s">
        <v>6</v>
      </c>
      <c r="E212" s="8">
        <v>81</v>
      </c>
      <c r="F212" s="6" t="s">
        <v>6</v>
      </c>
      <c r="G212" s="6" t="s">
        <v>1</v>
      </c>
      <c r="H212" s="7">
        <v>66.400000000000006</v>
      </c>
      <c r="I212" s="6" t="s">
        <v>11</v>
      </c>
      <c r="J212" s="6" t="s">
        <v>3</v>
      </c>
      <c r="K212" s="7">
        <v>50.89</v>
      </c>
      <c r="L212" s="6" t="s">
        <v>4</v>
      </c>
      <c r="M212" s="7">
        <v>62.21</v>
      </c>
      <c r="N212" s="7" t="str">
        <f t="shared" si="3"/>
        <v>First Class</v>
      </c>
      <c r="O212" s="6" t="s">
        <v>5</v>
      </c>
      <c r="P212" s="6" t="str">
        <f>IF(AND(Table2[[#This Row],[Workex]]="Yes",Table2[[#This Row],[Degree_P]]&gt;70%),"High Priority", "Standard")</f>
        <v>Standard</v>
      </c>
      <c r="Q212" s="10">
        <v>278000</v>
      </c>
      <c r="R212" s="17">
        <f>IF(Table2[[#This Row],[Etest_P]]&gt;90,Table2[[#This Row],[Adjusted Salary ]]+(Table2[[#This Row],[Adjusted Salary ]]*5%),Table2[[#This Row],[Adjusted Salary ]])</f>
        <v>278000</v>
      </c>
    </row>
    <row r="213" spans="1:18">
      <c r="A213" s="3">
        <v>20</v>
      </c>
      <c r="B213" s="3" t="s">
        <v>29</v>
      </c>
      <c r="C213" s="4">
        <v>60</v>
      </c>
      <c r="D213" s="3" t="s">
        <v>0</v>
      </c>
      <c r="E213" s="5">
        <v>67</v>
      </c>
      <c r="F213" s="3" t="s">
        <v>0</v>
      </c>
      <c r="G213" s="3" t="s">
        <v>10</v>
      </c>
      <c r="H213" s="4">
        <v>70</v>
      </c>
      <c r="I213" s="3" t="s">
        <v>11</v>
      </c>
      <c r="J213" s="3" t="s">
        <v>8</v>
      </c>
      <c r="K213" s="4">
        <v>50.48</v>
      </c>
      <c r="L213" s="3" t="s">
        <v>9</v>
      </c>
      <c r="M213" s="4">
        <v>77.89</v>
      </c>
      <c r="N213" s="4" t="str">
        <f t="shared" si="3"/>
        <v>Distinction</v>
      </c>
      <c r="O213" s="6" t="s">
        <v>5</v>
      </c>
      <c r="P213" s="6" t="str">
        <f>IF(AND(Table2[[#This Row],[Workex]]="Yes",Table2[[#This Row],[Degree_P]]&gt;70%),"High Priority", "Standard")</f>
        <v>High Priority</v>
      </c>
      <c r="Q213" s="9">
        <v>236000</v>
      </c>
      <c r="R213" s="17">
        <f>IF(Table2[[#This Row],[Etest_P]]&gt;90,Table2[[#This Row],[Adjusted Salary ]]+(Table2[[#This Row],[Adjusted Salary ]]*5%),Table2[[#This Row],[Adjusted Salary ]])</f>
        <v>236000</v>
      </c>
    </row>
    <row r="214" spans="1:18">
      <c r="A214" s="6">
        <v>21</v>
      </c>
      <c r="B214" s="6" t="s">
        <v>29</v>
      </c>
      <c r="C214" s="7">
        <v>62</v>
      </c>
      <c r="D214" s="6" t="s">
        <v>0</v>
      </c>
      <c r="E214" s="8">
        <v>65</v>
      </c>
      <c r="F214" s="6" t="s">
        <v>0</v>
      </c>
      <c r="G214" s="6" t="s">
        <v>1</v>
      </c>
      <c r="H214" s="7">
        <v>66</v>
      </c>
      <c r="I214" s="6" t="s">
        <v>11</v>
      </c>
      <c r="J214" s="6" t="s">
        <v>3</v>
      </c>
      <c r="K214" s="7">
        <v>50</v>
      </c>
      <c r="L214" s="6" t="s">
        <v>4</v>
      </c>
      <c r="M214" s="7">
        <v>56.7</v>
      </c>
      <c r="N214" s="7" t="str">
        <f t="shared" si="3"/>
        <v>Pass</v>
      </c>
      <c r="O214" s="6" t="s">
        <v>5</v>
      </c>
      <c r="P214" s="6" t="str">
        <f>IF(AND(Table2[[#This Row],[Workex]]="Yes",Table2[[#This Row],[Degree_P]]&gt;70%),"High Priority", "Standard")</f>
        <v>Standard</v>
      </c>
      <c r="Q214" s="10">
        <v>265000</v>
      </c>
      <c r="R214" s="17">
        <f>IF(Table2[[#This Row],[Etest_P]]&gt;90,Table2[[#This Row],[Adjusted Salary ]]+(Table2[[#This Row],[Adjusted Salary ]]*5%),Table2[[#This Row],[Adjusted Salary ]])</f>
        <v>265000</v>
      </c>
    </row>
    <row r="215" spans="1:18">
      <c r="A215" s="3">
        <v>100</v>
      </c>
      <c r="B215" s="3" t="s">
        <v>29</v>
      </c>
      <c r="C215" s="4">
        <v>54</v>
      </c>
      <c r="D215" s="3" t="s">
        <v>6</v>
      </c>
      <c r="E215" s="5">
        <v>82</v>
      </c>
      <c r="F215" s="3" t="s">
        <v>0</v>
      </c>
      <c r="G215" s="3" t="s">
        <v>1</v>
      </c>
      <c r="H215" s="4">
        <v>63</v>
      </c>
      <c r="I215" s="3" t="s">
        <v>2</v>
      </c>
      <c r="J215" s="3" t="s">
        <v>3</v>
      </c>
      <c r="K215" s="4">
        <v>50</v>
      </c>
      <c r="L215" s="3" t="s">
        <v>9</v>
      </c>
      <c r="M215" s="4">
        <v>59.47</v>
      </c>
      <c r="N215" s="4" t="str">
        <f t="shared" si="3"/>
        <v>Pass</v>
      </c>
      <c r="O215" s="6" t="s">
        <v>12</v>
      </c>
      <c r="P215" s="6" t="str">
        <f>IF(AND(Table2[[#This Row],[Workex]]="Yes",Table2[[#This Row],[Degree_P]]&gt;70%),"High Priority", "Standard")</f>
        <v>Standard</v>
      </c>
      <c r="Q215" s="9">
        <v>0</v>
      </c>
      <c r="R215" s="17">
        <f>IF(Table2[[#This Row],[Etest_P]]&gt;90,Table2[[#This Row],[Adjusted Salary ]]+(Table2[[#This Row],[Adjusted Salary ]]*5%),Table2[[#This Row],[Adjusted Salary ]])</f>
        <v>0</v>
      </c>
    </row>
    <row r="216" spans="1:18">
      <c r="A216" s="6">
        <v>191</v>
      </c>
      <c r="B216" s="6" t="s">
        <v>30</v>
      </c>
      <c r="C216" s="7">
        <v>64</v>
      </c>
      <c r="D216" s="6" t="s">
        <v>0</v>
      </c>
      <c r="E216" s="8">
        <v>70.2</v>
      </c>
      <c r="F216" s="6" t="s">
        <v>6</v>
      </c>
      <c r="G216" s="6" t="s">
        <v>1</v>
      </c>
      <c r="H216" s="7">
        <v>61</v>
      </c>
      <c r="I216" s="6" t="s">
        <v>11</v>
      </c>
      <c r="J216" s="6" t="s">
        <v>3</v>
      </c>
      <c r="K216" s="7">
        <v>50</v>
      </c>
      <c r="L216" s="6" t="s">
        <v>9</v>
      </c>
      <c r="M216" s="7">
        <v>62.5</v>
      </c>
      <c r="N216" s="7" t="str">
        <f t="shared" si="3"/>
        <v>First Class</v>
      </c>
      <c r="O216" s="6" t="s">
        <v>12</v>
      </c>
      <c r="P216" s="6" t="str">
        <f>IF(AND(Table2[[#This Row],[Workex]]="Yes",Table2[[#This Row],[Degree_P]]&gt;70%),"High Priority", "Standard")</f>
        <v>Standard</v>
      </c>
      <c r="Q216" s="10">
        <v>0</v>
      </c>
      <c r="R216" s="17">
        <f>IF(Table2[[#This Row],[Etest_P]]&gt;90,Table2[[#This Row],[Adjusted Salary ]]+(Table2[[#This Row],[Adjusted Salary ]]*5%),Table2[[#This Row],[Adjusted Salary ]])</f>
        <v>0</v>
      </c>
    </row>
  </sheetData>
  <conditionalFormatting sqref="O2:P216">
    <cfRule type="cellIs" dxfId="4" priority="4" operator="equal">
      <formula>"Placed"</formula>
    </cfRule>
  </conditionalFormatting>
  <conditionalFormatting sqref="O5:P216">
    <cfRule type="cellIs" dxfId="3" priority="3" operator="equal">
      <formula>"Not Placed"</formula>
    </cfRule>
  </conditionalFormatting>
  <conditionalFormatting sqref="P2:P216">
    <cfRule type="cellIs" dxfId="2" priority="1" operator="equal">
      <formula>"High Priority"</formula>
    </cfRule>
  </conditionalFormatting>
  <conditionalFormatting sqref="Q2:Q216">
    <cfRule type="top10" dxfId="1" priority="2" percent="1" rank="10"/>
  </conditionalFormatting>
  <dataValidations count="1">
    <dataValidation type="list" allowBlank="1" showInputMessage="1" showErrorMessage="1" sqref="L2:L216" xr:uid="{E0BCC7CB-AC27-4210-A696-4DBCB0C1A479}">
      <formula1>"Mkt&amp;HR,Mkt&amp;fin"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FFAD9-5D86-4312-B4B6-4936C924F6CD}">
  <dimension ref="A1:C13"/>
  <sheetViews>
    <sheetView showGridLines="0" tabSelected="1" workbookViewId="0">
      <selection activeCell="A13" sqref="A13"/>
    </sheetView>
  </sheetViews>
  <sheetFormatPr defaultRowHeight="16.8"/>
  <cols>
    <col min="1" max="1" width="28" customWidth="1"/>
    <col min="2" max="2" width="11.81640625" bestFit="1" customWidth="1"/>
  </cols>
  <sheetData>
    <row r="1" spans="1:3">
      <c r="A1" s="18" t="s">
        <v>31</v>
      </c>
      <c r="B1" s="13" t="s">
        <v>4</v>
      </c>
      <c r="C1" s="13" t="s">
        <v>9</v>
      </c>
    </row>
    <row r="2" spans="1:3" ht="51.6" customHeight="1">
      <c r="A2" s="18"/>
      <c r="B2" s="13">
        <f>COUNTIF(Table2[Specialisation],"Mkt&amp;Hr")</f>
        <v>95</v>
      </c>
      <c r="C2" s="13">
        <f>COUNTIF(Table2[Specialisation],"Mkt&amp;Fin")</f>
        <v>120</v>
      </c>
    </row>
    <row r="3" spans="1:3" ht="33.6">
      <c r="A3" s="2" t="s">
        <v>32</v>
      </c>
      <c r="B3" s="1">
        <f>AVERAGEIF(Placement_Data_Full_Class!$J$2:$J$216,"Yes",Placement_Data_Full_Class!$Q$2:$Q$216)</f>
        <v>262283.78378378379</v>
      </c>
    </row>
    <row r="5" spans="1:3" ht="50.4">
      <c r="A5" s="2" t="s">
        <v>33</v>
      </c>
      <c r="B5">
        <f>COUNTIFS(Placement_Data_Full_Class!$C$2:$C$216,"&gt;=80",Placement_Data_Full_Class!$E$2:$E$216,"&gt;=80",Placement_Data_Full_Class!$B$2:$B$216,"Male")</f>
        <v>5</v>
      </c>
    </row>
    <row r="7" spans="1:3" ht="50.4">
      <c r="A7" s="2" t="s">
        <v>34</v>
      </c>
      <c r="B7">
        <f>SUMIFS(Placement_Data_Full_Class!Q2:Q215,Placement_Data_Full_Class!F2:F215,"Central",Placement_Data_Full_Class!O2:O215,"Placed")</f>
        <v>16504000</v>
      </c>
    </row>
    <row r="9" spans="1:3">
      <c r="A9" s="13" t="str">
        <f>Placement_Data_Full_Class!A1</f>
        <v>Sl_No</v>
      </c>
      <c r="B9" s="13" t="str">
        <f>Placement_Data_Full_Class!I1</f>
        <v>Degree_T</v>
      </c>
      <c r="C9" s="13" t="str">
        <f>Placement_Data_Full_Class!O1</f>
        <v>Status</v>
      </c>
    </row>
    <row r="10" spans="1:3">
      <c r="A10" s="13">
        <v>85</v>
      </c>
      <c r="B10" s="13" t="str">
        <f>VLOOKUP(A10,Placement_Data_Full_Class!A2:Q216,MATCH(B9,Table2[#Headers],0),0)</f>
        <v>Sci&amp;Tech</v>
      </c>
      <c r="C10" s="13" t="str">
        <f>VLOOKUP(A10,Placement_Data_Full_Class!A2:Q216,MATCH(C9,Table2[#Headers],0),0)</f>
        <v>Placed</v>
      </c>
    </row>
    <row r="12" spans="1:3">
      <c r="A12" s="14" t="s">
        <v>35</v>
      </c>
    </row>
    <row r="13" spans="1:3">
      <c r="A13" t="s">
        <v>9</v>
      </c>
      <c r="B13">
        <f>_xlfn.MAXIFS(Table2[[Adjusted Salary ]],Table2[Specialisation],Data_insights!A13)</f>
        <v>940000</v>
      </c>
    </row>
  </sheetData>
  <mergeCells count="1">
    <mergeCell ref="A1:A2"/>
  </mergeCells>
  <dataValidations count="1">
    <dataValidation type="list" allowBlank="1" showInputMessage="1" showErrorMessage="1" sqref="A13" xr:uid="{A2FFA6D9-FA18-4D11-BEC0-7BF07E3FE55A}">
      <formula1>"Mkt&amp;Hr,Mkt&amp;Fin"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42614-D97D-497E-9CD8-7F0FAEC71360}">
  <dimension ref="A3:D8"/>
  <sheetViews>
    <sheetView workbookViewId="0">
      <selection activeCell="C3" sqref="C3"/>
    </sheetView>
  </sheetViews>
  <sheetFormatPr defaultRowHeight="16.8"/>
  <cols>
    <col min="1" max="1" width="14.1796875" bestFit="1" customWidth="1"/>
    <col min="2" max="2" width="15.81640625" bestFit="1" customWidth="1"/>
    <col min="3" max="3" width="6.54296875" bestFit="1" customWidth="1"/>
    <col min="4" max="4" width="11.453125" bestFit="1" customWidth="1"/>
  </cols>
  <sheetData>
    <row r="3" spans="1:4">
      <c r="A3" s="15" t="s">
        <v>39</v>
      </c>
      <c r="B3" s="15" t="s">
        <v>38</v>
      </c>
    </row>
    <row r="4" spans="1:4">
      <c r="A4" s="15" t="s">
        <v>36</v>
      </c>
      <c r="B4" t="s">
        <v>12</v>
      </c>
      <c r="C4" t="s">
        <v>5</v>
      </c>
      <c r="D4" t="s">
        <v>37</v>
      </c>
    </row>
    <row r="5" spans="1:4">
      <c r="A5" s="16" t="s">
        <v>10</v>
      </c>
      <c r="B5">
        <v>5</v>
      </c>
      <c r="C5">
        <v>6</v>
      </c>
      <c r="D5">
        <v>11</v>
      </c>
    </row>
    <row r="6" spans="1:4">
      <c r="A6" s="16" t="s">
        <v>1</v>
      </c>
      <c r="B6">
        <v>34</v>
      </c>
      <c r="C6">
        <v>79</v>
      </c>
      <c r="D6">
        <v>113</v>
      </c>
    </row>
    <row r="7" spans="1:4">
      <c r="A7" s="16" t="s">
        <v>7</v>
      </c>
      <c r="B7">
        <v>28</v>
      </c>
      <c r="C7">
        <v>63</v>
      </c>
      <c r="D7">
        <v>91</v>
      </c>
    </row>
    <row r="8" spans="1:4">
      <c r="A8" s="16" t="s">
        <v>37</v>
      </c>
      <c r="B8">
        <v>67</v>
      </c>
      <c r="C8">
        <v>148</v>
      </c>
      <c r="D8">
        <v>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7D190-8F67-4E55-B4D7-49D9732BB45E}">
  <dimension ref="A3:B7"/>
  <sheetViews>
    <sheetView workbookViewId="0">
      <selection activeCell="M12" sqref="M12"/>
    </sheetView>
  </sheetViews>
  <sheetFormatPr defaultRowHeight="16.8"/>
  <cols>
    <col min="1" max="1" width="12.7265625" bestFit="1" customWidth="1"/>
    <col min="2" max="2" width="14.26953125" bestFit="1" customWidth="1"/>
  </cols>
  <sheetData>
    <row r="3" spans="1:2">
      <c r="A3" s="15" t="s">
        <v>36</v>
      </c>
      <c r="B3" t="s">
        <v>40</v>
      </c>
    </row>
    <row r="4" spans="1:2">
      <c r="A4" s="16" t="s">
        <v>10</v>
      </c>
      <c r="B4">
        <v>11</v>
      </c>
    </row>
    <row r="5" spans="1:2">
      <c r="A5" s="16" t="s">
        <v>1</v>
      </c>
      <c r="B5">
        <v>113</v>
      </c>
    </row>
    <row r="6" spans="1:2">
      <c r="A6" s="16" t="s">
        <v>7</v>
      </c>
      <c r="B6">
        <v>91</v>
      </c>
    </row>
    <row r="7" spans="1:2">
      <c r="A7" s="16" t="s">
        <v>37</v>
      </c>
      <c r="B7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4C17-518D-4D1C-9092-477CA775A4C8}">
  <dimension ref="A1:A41"/>
  <sheetViews>
    <sheetView showGridLines="0" workbookViewId="0">
      <selection activeCell="K9" sqref="K9"/>
    </sheetView>
  </sheetViews>
  <sheetFormatPr defaultRowHeight="16.8"/>
  <sheetData>
    <row r="1" spans="1:1" ht="17.399999999999999">
      <c r="A1" s="19" t="s">
        <v>43</v>
      </c>
    </row>
    <row r="2" spans="1:1">
      <c r="A2" s="20"/>
    </row>
    <row r="3" spans="1:1">
      <c r="A3" s="21" t="s">
        <v>44</v>
      </c>
    </row>
    <row r="4" spans="1:1">
      <c r="A4" s="20"/>
    </row>
    <row r="5" spans="1:1">
      <c r="A5" s="21" t="s">
        <v>45</v>
      </c>
    </row>
    <row r="6" spans="1:1">
      <c r="A6" s="20"/>
    </row>
    <row r="7" spans="1:1">
      <c r="A7" s="21" t="s">
        <v>46</v>
      </c>
    </row>
    <row r="9" spans="1:1" ht="17.399999999999999">
      <c r="A9" s="19" t="s">
        <v>47</v>
      </c>
    </row>
    <row r="10" spans="1:1">
      <c r="A10" s="20"/>
    </row>
    <row r="11" spans="1:1">
      <c r="A11" s="21" t="s">
        <v>48</v>
      </c>
    </row>
    <row r="12" spans="1:1">
      <c r="A12" s="20"/>
    </row>
    <row r="13" spans="1:1">
      <c r="A13" s="21" t="s">
        <v>49</v>
      </c>
    </row>
    <row r="14" spans="1:1">
      <c r="A14" s="20"/>
    </row>
    <row r="15" spans="1:1">
      <c r="A15" s="21" t="s">
        <v>50</v>
      </c>
    </row>
    <row r="16" spans="1:1">
      <c r="A16" s="20"/>
    </row>
    <row r="17" spans="1:1">
      <c r="A17" s="21" t="s">
        <v>51</v>
      </c>
    </row>
    <row r="19" spans="1:1" ht="17.399999999999999">
      <c r="A19" s="19" t="s">
        <v>52</v>
      </c>
    </row>
    <row r="20" spans="1:1">
      <c r="A20" s="20"/>
    </row>
    <row r="21" spans="1:1">
      <c r="A21" s="21" t="s">
        <v>53</v>
      </c>
    </row>
    <row r="22" spans="1:1">
      <c r="A22" s="20"/>
    </row>
    <row r="23" spans="1:1">
      <c r="A23" s="21" t="s">
        <v>54</v>
      </c>
    </row>
    <row r="24" spans="1:1">
      <c r="A24" s="20"/>
    </row>
    <row r="25" spans="1:1">
      <c r="A25" s="21" t="s">
        <v>55</v>
      </c>
    </row>
    <row r="27" spans="1:1" ht="17.399999999999999">
      <c r="A27" s="19" t="s">
        <v>56</v>
      </c>
    </row>
    <row r="28" spans="1:1">
      <c r="A28" s="20"/>
    </row>
    <row r="29" spans="1:1">
      <c r="A29" s="21" t="s">
        <v>57</v>
      </c>
    </row>
    <row r="30" spans="1:1">
      <c r="A30" s="20"/>
    </row>
    <row r="31" spans="1:1">
      <c r="A31" s="21" t="s">
        <v>58</v>
      </c>
    </row>
    <row r="32" spans="1:1">
      <c r="A32" s="20"/>
    </row>
    <row r="33" spans="1:1">
      <c r="A33" s="21" t="s">
        <v>59</v>
      </c>
    </row>
    <row r="34" spans="1:1">
      <c r="A34" s="20"/>
    </row>
    <row r="35" spans="1:1">
      <c r="A35" s="21" t="s">
        <v>60</v>
      </c>
    </row>
    <row r="37" spans="1:1" ht="17.399999999999999">
      <c r="A37" s="19" t="s">
        <v>61</v>
      </c>
    </row>
    <row r="38" spans="1:1">
      <c r="A38" s="20"/>
    </row>
    <row r="39" spans="1:1">
      <c r="A39" s="21" t="s">
        <v>62</v>
      </c>
    </row>
    <row r="40" spans="1:1">
      <c r="A40" s="20"/>
    </row>
    <row r="41" spans="1:1">
      <c r="A41" s="2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Placement_Data_Full_Class</vt:lpstr>
      <vt:lpstr>Data_insights</vt:lpstr>
      <vt:lpstr>Placement_asper_department</vt:lpstr>
      <vt:lpstr>Number_Of_student_per_departmen</vt:lpstr>
      <vt:lpstr>Questions that are answerd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tirthani</dc:creator>
  <cp:lastModifiedBy>vinay tirthani</cp:lastModifiedBy>
  <dcterms:created xsi:type="dcterms:W3CDTF">2026-03-06T18:00:07Z</dcterms:created>
  <dcterms:modified xsi:type="dcterms:W3CDTF">2026-03-06T20:13:48Z</dcterms:modified>
</cp:coreProperties>
</file>