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https://d.docs.live.net/83b42572a626b2a1/Desktop/Practice data sets/"/>
    </mc:Choice>
  </mc:AlternateContent>
  <xr:revisionPtr revIDLastSave="844" documentId="8_{50DBAEB0-898D-4124-82F3-D6089AF0BA39}" xr6:coauthVersionLast="47" xr6:coauthVersionMax="47" xr10:uidLastSave="{DCFA0144-A782-48B1-8D89-97056BDE443F}"/>
  <bookViews>
    <workbookView xWindow="-108" yWindow="-108" windowWidth="23256" windowHeight="13176" activeTab="1" xr2:uid="{65F70A13-9904-420C-A27B-1D3CFB887A19}"/>
  </bookViews>
  <sheets>
    <sheet name="Placement_Data_Full_Class" sheetId="1" r:id="rId1"/>
    <sheet name="Data_insights" sheetId="2" r:id="rId2"/>
    <sheet name="Placement_As_Per_Grade" sheetId="10" r:id="rId3"/>
    <sheet name="Placement_status_on_previous_ex" sheetId="9" r:id="rId4"/>
    <sheet name="Placement_asper_department" sheetId="6" r:id="rId5"/>
    <sheet name="Number_Of_student_per_departmen" sheetId="7" r:id="rId6"/>
    <sheet name="Questions that are answerd " sheetId="8" r:id="rId7"/>
  </sheets>
  <definedNames>
    <definedName name="Slicer_Grade">#N/A</definedName>
    <definedName name="Slicer_Hsc_S">#N/A</definedName>
    <definedName name="Slicer_Status">#N/A</definedName>
    <definedName name="Slicer_Status1">#N/A</definedName>
  </definedNames>
  <calcPr calcId="191029"/>
  <pivotCaches>
    <pivotCache cacheId="4" r:id="rId8"/>
    <pivotCache cacheId="38"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3" i="1" l="1"/>
  <c r="C22" i="2"/>
  <c r="D22" i="2"/>
  <c r="B22" i="2"/>
  <c r="B18" i="2"/>
  <c r="N154" i="1"/>
  <c r="N26" i="1"/>
  <c r="N120" i="1"/>
  <c r="N208" i="1"/>
  <c r="N6" i="1"/>
  <c r="N118" i="1"/>
  <c r="N140" i="1"/>
  <c r="N191" i="1"/>
  <c r="N74" i="1"/>
  <c r="N97" i="1"/>
  <c r="N23" i="1"/>
  <c r="N45" i="1"/>
  <c r="N73" i="1"/>
  <c r="N189" i="1"/>
  <c r="N28" i="1"/>
  <c r="N136" i="1"/>
  <c r="N99" i="1"/>
  <c r="N159" i="1"/>
  <c r="N194" i="1"/>
  <c r="N41" i="1"/>
  <c r="N210" i="1"/>
  <c r="N25" i="1"/>
  <c r="N92" i="1"/>
  <c r="N10" i="1"/>
  <c r="N212" i="1"/>
  <c r="N131" i="1"/>
  <c r="N67" i="1"/>
  <c r="N46" i="1"/>
  <c r="N72" i="1"/>
  <c r="N117" i="1"/>
  <c r="N145" i="1"/>
  <c r="N179" i="1"/>
  <c r="N216" i="1"/>
  <c r="N209" i="1"/>
  <c r="N35" i="1"/>
  <c r="N200" i="1"/>
  <c r="N202" i="1"/>
  <c r="N177" i="1"/>
  <c r="N55" i="1"/>
  <c r="N3" i="1"/>
  <c r="N80" i="1"/>
  <c r="N75" i="1"/>
  <c r="N83" i="1"/>
  <c r="N111" i="1"/>
  <c r="N155" i="1"/>
  <c r="N105" i="1"/>
  <c r="N107" i="1"/>
  <c r="N148" i="1"/>
  <c r="N76" i="1"/>
  <c r="N85" i="1"/>
  <c r="N110" i="1"/>
  <c r="N132" i="1"/>
  <c r="N174" i="1"/>
  <c r="N197" i="1"/>
  <c r="N149" i="1"/>
  <c r="N153" i="1"/>
  <c r="N121" i="1"/>
  <c r="N84" i="1"/>
  <c r="N187" i="1"/>
  <c r="N130" i="1"/>
  <c r="N124" i="1"/>
  <c r="N59" i="1"/>
  <c r="N109" i="1"/>
  <c r="N119" i="1"/>
  <c r="N133" i="1"/>
  <c r="N158" i="1"/>
  <c r="N167" i="1"/>
  <c r="N195" i="1"/>
  <c r="N206" i="1"/>
  <c r="N70" i="1"/>
  <c r="N87" i="1"/>
  <c r="N49" i="1"/>
  <c r="N56" i="1"/>
  <c r="N103" i="1"/>
  <c r="N138" i="1"/>
  <c r="N198" i="1"/>
  <c r="N31" i="1"/>
  <c r="N16" i="1"/>
  <c r="N27" i="1"/>
  <c r="N181" i="1"/>
  <c r="N164" i="1"/>
  <c r="N4" i="1"/>
  <c r="N81" i="1"/>
  <c r="N89" i="1"/>
  <c r="N127" i="1"/>
  <c r="N162" i="1"/>
  <c r="N165" i="1"/>
  <c r="N184" i="1"/>
  <c r="N134" i="1"/>
  <c r="N8" i="1"/>
  <c r="N60" i="1"/>
  <c r="N77" i="1"/>
  <c r="N213" i="1"/>
  <c r="N30" i="1"/>
  <c r="N122" i="1"/>
  <c r="N180" i="1"/>
  <c r="N201" i="1"/>
  <c r="N115" i="1"/>
  <c r="N17" i="1"/>
  <c r="N94" i="1"/>
  <c r="N95" i="1"/>
  <c r="N147" i="1"/>
  <c r="N193" i="1"/>
  <c r="N54" i="1"/>
  <c r="N37" i="1"/>
  <c r="N57" i="1"/>
  <c r="N108" i="1"/>
  <c r="N71" i="1"/>
  <c r="N100" i="1"/>
  <c r="N128" i="1"/>
  <c r="N156" i="1"/>
  <c r="N215" i="1"/>
  <c r="N79" i="1"/>
  <c r="N68" i="1"/>
  <c r="N69" i="1"/>
  <c r="N65" i="1"/>
  <c r="N36" i="1"/>
  <c r="N15" i="1"/>
  <c r="N20" i="1"/>
  <c r="N29" i="1"/>
  <c r="N48" i="1"/>
  <c r="N58" i="1"/>
  <c r="N9" i="1"/>
  <c r="N53" i="1"/>
  <c r="N82" i="1"/>
  <c r="N88" i="1"/>
  <c r="N93" i="1"/>
  <c r="N175" i="1"/>
  <c r="N211" i="1"/>
  <c r="N5" i="1"/>
  <c r="N98" i="1"/>
  <c r="N205" i="1"/>
  <c r="N43" i="1"/>
  <c r="N51" i="1"/>
  <c r="N52" i="1"/>
  <c r="N135" i="1"/>
  <c r="N151" i="1"/>
  <c r="N33" i="1"/>
  <c r="N38" i="1"/>
  <c r="N50" i="1"/>
  <c r="N126" i="1"/>
  <c r="N176" i="1"/>
  <c r="N173" i="1"/>
  <c r="N44" i="1"/>
  <c r="N168" i="1"/>
  <c r="N183" i="1"/>
  <c r="N12" i="1"/>
  <c r="N14" i="1"/>
  <c r="N91" i="1"/>
  <c r="N161" i="1"/>
  <c r="N207" i="1"/>
  <c r="N63" i="1"/>
  <c r="N204" i="1"/>
  <c r="N66" i="1"/>
  <c r="N78" i="1"/>
  <c r="N13" i="1"/>
  <c r="N18" i="1"/>
  <c r="N19" i="1"/>
  <c r="N42" i="1"/>
  <c r="N62" i="1"/>
  <c r="N113" i="1"/>
  <c r="N125" i="1"/>
  <c r="N143" i="1"/>
  <c r="N144" i="1"/>
  <c r="N146" i="1"/>
  <c r="N160" i="1"/>
  <c r="N170" i="1"/>
  <c r="N185" i="1"/>
  <c r="N186" i="1"/>
  <c r="N199" i="1"/>
  <c r="N64" i="1"/>
  <c r="N196" i="1"/>
  <c r="N214" i="1"/>
  <c r="N169" i="1"/>
  <c r="N172" i="1"/>
  <c r="N39" i="1"/>
  <c r="N47" i="1"/>
  <c r="N90" i="1"/>
  <c r="N114" i="1"/>
  <c r="N141" i="1"/>
  <c r="N163" i="1"/>
  <c r="N61" i="1"/>
  <c r="N104" i="1"/>
  <c r="N112" i="1"/>
  <c r="N150" i="1"/>
  <c r="N182" i="1"/>
  <c r="N190" i="1"/>
  <c r="N102" i="1"/>
  <c r="N157" i="1"/>
  <c r="N139" i="1"/>
  <c r="N142" i="1"/>
  <c r="N152" i="1"/>
  <c r="N123" i="1"/>
  <c r="N137" i="1"/>
  <c r="N24" i="1"/>
  <c r="N129" i="1"/>
  <c r="N2" i="1"/>
  <c r="N7" i="1"/>
  <c r="N86" i="1"/>
  <c r="N106" i="1"/>
  <c r="N178" i="1"/>
  <c r="N188" i="1"/>
  <c r="N171" i="1"/>
  <c r="N11" i="1"/>
  <c r="N96" i="1"/>
  <c r="N40" i="1"/>
  <c r="N116" i="1"/>
  <c r="N166" i="1"/>
  <c r="N32" i="1"/>
  <c r="N34" i="1"/>
  <c r="N21" i="1"/>
  <c r="N22" i="1"/>
  <c r="N101" i="1"/>
  <c r="N192"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C18" i="2" s="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B14" i="2"/>
  <c r="C2" i="2"/>
  <c r="B2" i="2"/>
  <c r="B10" i="2"/>
  <c r="B11" i="2" s="1"/>
  <c r="C10" i="2"/>
  <c r="C11" i="2" s="1"/>
  <c r="A10" i="2"/>
  <c r="B7" i="2"/>
  <c r="B5" i="2"/>
  <c r="B3" i="2"/>
</calcChain>
</file>

<file path=xl/sharedStrings.xml><?xml version="1.0" encoding="utf-8"?>
<sst xmlns="http://schemas.openxmlformats.org/spreadsheetml/2006/main" count="1813" uniqueCount="73">
  <si>
    <t>Others</t>
  </si>
  <si>
    <t>Commerce</t>
  </si>
  <si>
    <t>Sci&amp;Tech</t>
  </si>
  <si>
    <t>No</t>
  </si>
  <si>
    <t>Mkt&amp;HR</t>
  </si>
  <si>
    <t>Placed</t>
  </si>
  <si>
    <t>Central</t>
  </si>
  <si>
    <t>Science</t>
  </si>
  <si>
    <t>Yes</t>
  </si>
  <si>
    <t>Mkt&amp;Fin</t>
  </si>
  <si>
    <t>Arts</t>
  </si>
  <si>
    <t>Comm&amp;Mgmt</t>
  </si>
  <si>
    <t>Not Placed</t>
  </si>
  <si>
    <t>Sl_No</t>
  </si>
  <si>
    <t>Degree_P</t>
  </si>
  <si>
    <t>Ssc_P</t>
  </si>
  <si>
    <t>Ssc_B</t>
  </si>
  <si>
    <t>Hsc_P</t>
  </si>
  <si>
    <t>Hsc_B</t>
  </si>
  <si>
    <t>Hsc_S</t>
  </si>
  <si>
    <t>Degree_T</t>
  </si>
  <si>
    <t>Workex</t>
  </si>
  <si>
    <t>Etest_P</t>
  </si>
  <si>
    <t>Specialisation</t>
  </si>
  <si>
    <t>Mba_P</t>
  </si>
  <si>
    <t>Status</t>
  </si>
  <si>
    <t xml:space="preserve">Adjusted Salary </t>
  </si>
  <si>
    <t>Grade</t>
  </si>
  <si>
    <t xml:space="preserve">Gender </t>
  </si>
  <si>
    <t>Male</t>
  </si>
  <si>
    <t>Female</t>
  </si>
  <si>
    <t>Total number of students placed in "Mkt&amp;HR" vs "Mkt&amp;Fin".</t>
  </si>
  <si>
    <t xml:space="preserve">Average salary for people having 
work experience </t>
  </si>
  <si>
    <t>How many males scored more then
80% in ssc and hsc</t>
  </si>
  <si>
    <r>
      <t xml:space="preserve">The total salary paid to students 
from the "Central" </t>
    </r>
    <r>
      <rPr>
        <sz val="10"/>
        <color theme="1"/>
        <rFont val="Arial Unicode MS"/>
      </rPr>
      <t>hsc_b</t>
    </r>
    <r>
      <rPr>
        <sz val="13"/>
        <color theme="1"/>
        <rFont val="Times New Roman"/>
        <family val="2"/>
      </rPr>
      <t xml:space="preserve"> 
who are currently "Placed"</t>
    </r>
  </si>
  <si>
    <t>Max Salary per department</t>
  </si>
  <si>
    <t>Row Labels</t>
  </si>
  <si>
    <t>Grand Total</t>
  </si>
  <si>
    <t>Column Labels</t>
  </si>
  <si>
    <t>Count of Status</t>
  </si>
  <si>
    <t>Count of Hsc_S</t>
  </si>
  <si>
    <t>Priority</t>
  </si>
  <si>
    <t>Salary with potential Sign-up Bonus</t>
  </si>
  <si>
    <t>Phase 1: Data Preparation &amp; Cleaning</t>
  </si>
  <si>
    <r>
      <t>1. Salary Cleanup:</t>
    </r>
    <r>
      <rPr>
        <sz val="13"/>
        <color theme="1"/>
        <rFont val="Times New Roman"/>
        <family val="2"/>
      </rPr>
      <t xml:space="preserve"> Create a new column "Adjusted Salary" that shows the salary value, but if the status is "Not Placed", it must show 0 instead of a blank or error.</t>
    </r>
  </si>
  <si>
    <r>
      <t>2. Candidate Categorization:</t>
    </r>
    <r>
      <rPr>
        <sz val="13"/>
        <color theme="1"/>
        <rFont val="Times New Roman"/>
        <family val="2"/>
      </rPr>
      <t xml:space="preserve"> Create a "Grade" column. If </t>
    </r>
    <r>
      <rPr>
        <sz val="10"/>
        <color theme="1"/>
        <rFont val="Arial Unicode MS"/>
      </rPr>
      <t>mba_p</t>
    </r>
    <r>
      <rPr>
        <sz val="13"/>
        <color theme="1"/>
        <rFont val="Times New Roman"/>
        <family val="2"/>
      </rPr>
      <t xml:space="preserve"> is above 75, label it "Distinction"; if between 60 and 75, "First Class"; otherwise, "Pass".</t>
    </r>
  </si>
  <si>
    <r>
      <t>3. Gender Formatting:</t>
    </r>
    <r>
      <rPr>
        <sz val="13"/>
        <color theme="1"/>
        <rFont val="Times New Roman"/>
        <family val="2"/>
      </rPr>
      <t xml:space="preserve"> Create a helper column that converts "M" to "Male" and "F" to "Female" using a single formula.</t>
    </r>
  </si>
  <si>
    <t>Phase 2: Summary Analytics (Aggregation)</t>
  </si>
  <si>
    <r>
      <t>4. Specialization Report:</t>
    </r>
    <r>
      <rPr>
        <sz val="13"/>
        <color theme="1"/>
        <rFont val="Times New Roman"/>
        <family val="2"/>
      </rPr>
      <t xml:space="preserve"> Calculate the total number of students placed in "Mkt&amp;HR" vs "Mkt&amp;Fin".</t>
    </r>
  </si>
  <si>
    <r>
      <t>5. Salary Benchmarking:</t>
    </r>
    <r>
      <rPr>
        <sz val="13"/>
        <color theme="1"/>
        <rFont val="Times New Roman"/>
        <family val="2"/>
      </rPr>
      <t xml:space="preserve"> Find the average salary offered specifically to students who had prior "Workex" (Work Experience).</t>
    </r>
  </si>
  <si>
    <r>
      <t>6. High-Performer Count:</t>
    </r>
    <r>
      <rPr>
        <sz val="13"/>
        <color theme="1"/>
        <rFont val="Times New Roman"/>
        <family val="2"/>
      </rPr>
      <t xml:space="preserve"> Count how many Male students scored above 80% in both </t>
    </r>
    <r>
      <rPr>
        <sz val="10"/>
        <color theme="1"/>
        <rFont val="Arial Unicode MS"/>
      </rPr>
      <t>ssc_p</t>
    </r>
    <r>
      <rPr>
        <sz val="13"/>
        <color theme="1"/>
        <rFont val="Times New Roman"/>
        <family val="2"/>
      </rPr>
      <t xml:space="preserve"> and </t>
    </r>
    <r>
      <rPr>
        <sz val="10"/>
        <color theme="1"/>
        <rFont val="Arial Unicode MS"/>
      </rPr>
      <t>hsc_p</t>
    </r>
    <r>
      <rPr>
        <sz val="13"/>
        <color theme="1"/>
        <rFont val="Times New Roman"/>
        <family val="2"/>
      </rPr>
      <t>.</t>
    </r>
  </si>
  <si>
    <r>
      <t>7. Regional Analysis:</t>
    </r>
    <r>
      <rPr>
        <sz val="13"/>
        <color theme="1"/>
        <rFont val="Times New Roman"/>
        <family val="2"/>
      </rPr>
      <t xml:space="preserve"> Calculate the total salary paid to students from the "Central" </t>
    </r>
    <r>
      <rPr>
        <sz val="10"/>
        <color theme="1"/>
        <rFont val="Arial Unicode MS"/>
      </rPr>
      <t>hsc_b</t>
    </r>
    <r>
      <rPr>
        <sz val="13"/>
        <color theme="1"/>
        <rFont val="Times New Roman"/>
        <family val="2"/>
      </rPr>
      <t xml:space="preserve"> (Board of Education) who are currently "Placed".</t>
    </r>
  </si>
  <si>
    <t>Phase 3: Search &amp; Data Tools</t>
  </si>
  <si>
    <r>
      <t>8. Student Lookup:</t>
    </r>
    <r>
      <rPr>
        <sz val="13"/>
        <color theme="1"/>
        <rFont val="Times New Roman"/>
        <family val="2"/>
      </rPr>
      <t xml:space="preserve"> Create a search cell where you enter a </t>
    </r>
    <r>
      <rPr>
        <sz val="10"/>
        <color theme="1"/>
        <rFont val="Arial Unicode MS"/>
      </rPr>
      <t>sl_no</t>
    </r>
    <r>
      <rPr>
        <sz val="13"/>
        <color theme="1"/>
        <rFont val="Times New Roman"/>
        <family val="2"/>
      </rPr>
      <t xml:space="preserve"> and it returns the student's </t>
    </r>
    <r>
      <rPr>
        <sz val="10"/>
        <color theme="1"/>
        <rFont val="Arial Unicode MS"/>
      </rPr>
      <t>degree_t</t>
    </r>
    <r>
      <rPr>
        <sz val="13"/>
        <color theme="1"/>
        <rFont val="Times New Roman"/>
        <family val="2"/>
      </rPr>
      <t xml:space="preserve"> and </t>
    </r>
    <r>
      <rPr>
        <sz val="10"/>
        <color theme="1"/>
        <rFont val="Arial Unicode MS"/>
      </rPr>
      <t>status</t>
    </r>
    <r>
      <rPr>
        <sz val="13"/>
        <color theme="1"/>
        <rFont val="Times New Roman"/>
        <family val="2"/>
      </rPr>
      <t>.</t>
    </r>
  </si>
  <si>
    <r>
      <t>9. Data Validation:</t>
    </r>
    <r>
      <rPr>
        <sz val="13"/>
        <color theme="1"/>
        <rFont val="Times New Roman"/>
        <family val="2"/>
      </rPr>
      <t xml:space="preserve"> Create a dropdown menu containing the unique values of </t>
    </r>
    <r>
      <rPr>
        <sz val="10"/>
        <color theme="1"/>
        <rFont val="Arial Unicode MS"/>
      </rPr>
      <t>specialisation</t>
    </r>
    <r>
      <rPr>
        <sz val="13"/>
        <color theme="1"/>
        <rFont val="Times New Roman"/>
        <family val="2"/>
      </rPr>
      <t>.</t>
    </r>
  </si>
  <si>
    <r>
      <t>10. Dependent Calculations:</t>
    </r>
    <r>
      <rPr>
        <sz val="13"/>
        <color theme="1"/>
        <rFont val="Times New Roman"/>
        <family val="2"/>
      </rPr>
      <t xml:space="preserve"> Link the dropdown from task 9 to a cell that automatically shows the "Highest Salary" for the selected specialization.</t>
    </r>
  </si>
  <si>
    <t>Phase 4: Visuals &amp; Conditional Formatting</t>
  </si>
  <si>
    <r>
      <t>11. Status Highlighting:</t>
    </r>
    <r>
      <rPr>
        <sz val="13"/>
        <color theme="1"/>
        <rFont val="Times New Roman"/>
        <family val="2"/>
      </rPr>
      <t xml:space="preserve"> Automatically turn the background of the "Status" cell Green for "Placed" and Red for "Not Placed".</t>
    </r>
  </si>
  <si>
    <r>
      <t>12. Outlier Detection:</t>
    </r>
    <r>
      <rPr>
        <sz val="13"/>
        <color theme="1"/>
        <rFont val="Times New Roman"/>
        <family val="2"/>
      </rPr>
      <t xml:space="preserve"> Apply a rule to highlight any salary that is in the top 10% of the entire dataset.</t>
    </r>
  </si>
  <si>
    <r>
      <t>13. Trend Visualization:</t>
    </r>
    <r>
      <rPr>
        <sz val="13"/>
        <color theme="1"/>
        <rFont val="Times New Roman"/>
        <family val="2"/>
      </rPr>
      <t xml:space="preserve"> Create a Pivot Table and a corresponding Bar Chart showing the count of "Placed" vs "Not Placed" students across different </t>
    </r>
    <r>
      <rPr>
        <sz val="10"/>
        <color theme="1"/>
        <rFont val="Arial Unicode MS"/>
      </rPr>
      <t>degree_t</t>
    </r>
    <r>
      <rPr>
        <sz val="13"/>
        <color theme="1"/>
        <rFont val="Times New Roman"/>
        <family val="2"/>
      </rPr>
      <t xml:space="preserve"> (Degree Types).</t>
    </r>
  </si>
  <si>
    <r>
      <t>14. Comparison Chart:</t>
    </r>
    <r>
      <rPr>
        <sz val="13"/>
        <color theme="1"/>
        <rFont val="Times New Roman"/>
        <family val="2"/>
      </rPr>
      <t xml:space="preserve"> Build a Pie Chart showing the distribution of students across the three </t>
    </r>
    <r>
      <rPr>
        <sz val="10"/>
        <color theme="1"/>
        <rFont val="Arial Unicode MS"/>
      </rPr>
      <t>hsc_s</t>
    </r>
    <r>
      <rPr>
        <sz val="13"/>
        <color theme="1"/>
        <rFont val="Times New Roman"/>
        <family val="2"/>
      </rPr>
      <t xml:space="preserve"> (Higher Secondary Streams).</t>
    </r>
  </si>
  <si>
    <t>Phase 5: Advanced Logic</t>
  </si>
  <si>
    <r>
      <t>15. Placement Probability:</t>
    </r>
    <r>
      <rPr>
        <sz val="13"/>
        <color theme="1"/>
        <rFont val="Times New Roman"/>
        <family val="2"/>
      </rPr>
      <t xml:space="preserve"> Create a formula that returns "High Priority" if a student has </t>
    </r>
    <r>
      <rPr>
        <sz val="10"/>
        <color theme="1"/>
        <rFont val="Arial Unicode MS"/>
      </rPr>
      <t>workex</t>
    </r>
    <r>
      <rPr>
        <sz val="13"/>
        <color theme="1"/>
        <rFont val="Times New Roman"/>
        <family val="2"/>
      </rPr>
      <t xml:space="preserve"> = "Yes" AND a </t>
    </r>
    <r>
      <rPr>
        <sz val="10"/>
        <color theme="1"/>
        <rFont val="Arial Unicode MS"/>
      </rPr>
      <t>degree_p</t>
    </r>
    <r>
      <rPr>
        <sz val="13"/>
        <color theme="1"/>
        <rFont val="Times New Roman"/>
        <family val="2"/>
      </rPr>
      <t xml:space="preserve"> &gt; 70, otherwise "Standard".</t>
    </r>
  </si>
  <si>
    <r>
      <t>16. Bonus Calculation:</t>
    </r>
    <r>
      <rPr>
        <sz val="13"/>
        <color theme="1"/>
        <rFont val="Times New Roman"/>
        <family val="2"/>
      </rPr>
      <t xml:space="preserve"> If a student's </t>
    </r>
    <r>
      <rPr>
        <sz val="10"/>
        <color theme="1"/>
        <rFont val="Arial Unicode MS"/>
      </rPr>
      <t>etest_p</t>
    </r>
    <r>
      <rPr>
        <sz val="13"/>
        <color theme="1"/>
        <rFont val="Times New Roman"/>
        <family val="2"/>
      </rPr>
      <t xml:space="preserve"> is greater than 90, calculate a potential 5% "Sign-on Bonus" based on their salary; otherwise, the bonus is 0.</t>
    </r>
  </si>
  <si>
    <t>Use of Vlookup</t>
  </si>
  <si>
    <t>Use of Xlookup</t>
  </si>
  <si>
    <t xml:space="preserve">Index and Match </t>
  </si>
  <si>
    <t>.</t>
  </si>
  <si>
    <t>Count of Placement status</t>
  </si>
  <si>
    <t>Distinction</t>
  </si>
  <si>
    <t>First Class</t>
  </si>
  <si>
    <t>Pass</t>
  </si>
  <si>
    <t>Count of 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</si>
</sst>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General\ &quot;%&quot;"/>
    <numFmt numFmtId="165" formatCode="&quot;₹&quot;\ #,##0"/>
    <numFmt numFmtId="166" formatCode="&quot;₹&quot;\ #,##0.00"/>
  </numFmts>
  <fonts count="21" x14ac:knownFonts="1">
    <font>
      <sz val="13"/>
      <color theme="1"/>
      <name val="Times New Roman"/>
      <family val="2"/>
    </font>
    <font>
      <sz val="13"/>
      <color theme="1"/>
      <name val="Times New Roman"/>
      <family val="2"/>
    </font>
    <font>
      <sz val="18"/>
      <color theme="3"/>
      <name val="Aptos Display"/>
      <family val="2"/>
      <scheme val="major"/>
    </font>
    <font>
      <b/>
      <sz val="15"/>
      <color theme="3"/>
      <name val="Times New Roman"/>
      <family val="2"/>
    </font>
    <font>
      <b/>
      <sz val="13"/>
      <color theme="3"/>
      <name val="Times New Roman"/>
      <family val="2"/>
    </font>
    <font>
      <b/>
      <sz val="11"/>
      <color theme="3"/>
      <name val="Times New Roman"/>
      <family val="2"/>
    </font>
    <font>
      <sz val="13"/>
      <color rgb="FF006100"/>
      <name val="Times New Roman"/>
      <family val="2"/>
    </font>
    <font>
      <sz val="13"/>
      <color rgb="FF9C0006"/>
      <name val="Times New Roman"/>
      <family val="2"/>
    </font>
    <font>
      <sz val="13"/>
      <color rgb="FF9C5700"/>
      <name val="Times New Roman"/>
      <family val="2"/>
    </font>
    <font>
      <sz val="13"/>
      <color rgb="FF3F3F76"/>
      <name val="Times New Roman"/>
      <family val="2"/>
    </font>
    <font>
      <b/>
      <sz val="13"/>
      <color rgb="FF3F3F3F"/>
      <name val="Times New Roman"/>
      <family val="2"/>
    </font>
    <font>
      <b/>
      <sz val="13"/>
      <color rgb="FFFA7D00"/>
      <name val="Times New Roman"/>
      <family val="2"/>
    </font>
    <font>
      <sz val="13"/>
      <color rgb="FFFA7D00"/>
      <name val="Times New Roman"/>
      <family val="2"/>
    </font>
    <font>
      <b/>
      <sz val="13"/>
      <color theme="0"/>
      <name val="Times New Roman"/>
      <family val="2"/>
    </font>
    <font>
      <sz val="13"/>
      <color rgb="FFFF0000"/>
      <name val="Times New Roman"/>
      <family val="2"/>
    </font>
    <font>
      <i/>
      <sz val="13"/>
      <color rgb="FF7F7F7F"/>
      <name val="Times New Roman"/>
      <family val="2"/>
    </font>
    <font>
      <b/>
      <sz val="13"/>
      <color theme="1"/>
      <name val="Times New Roman"/>
      <family val="2"/>
    </font>
    <font>
      <sz val="13"/>
      <color theme="0"/>
      <name val="Times New Roman"/>
      <family val="2"/>
    </font>
    <font>
      <sz val="10"/>
      <color theme="1"/>
      <name val="Arial Unicode MS"/>
    </font>
    <font>
      <b/>
      <sz val="13.5"/>
      <color theme="1"/>
      <name val="Times New Roman"/>
      <family val="2"/>
    </font>
    <font>
      <b/>
      <sz val="18"/>
      <color theme="1"/>
      <name val="Times New Roman"/>
      <family val="1"/>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theme="4"/>
      </patternFill>
    </fill>
    <fill>
      <patternFill patternType="solid">
        <fgColor theme="4" tint="0.79998168889431442"/>
        <bgColor theme="4" tint="0.79998168889431442"/>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165" fontId="0" fillId="0" borderId="0" xfId="0" applyNumberFormat="1"/>
    <xf numFmtId="164" fontId="0" fillId="34" borderId="10" xfId="1" applyNumberFormat="1" applyFont="1" applyFill="1" applyBorder="1"/>
    <xf numFmtId="164" fontId="0" fillId="0" borderId="10" xfId="1" applyNumberFormat="1" applyFont="1" applyBorder="1"/>
    <xf numFmtId="0" fontId="0" fillId="0" borderId="11" xfId="0" applyBorder="1"/>
    <xf numFmtId="0" fontId="0" fillId="0" borderId="0" xfId="0" pivotButton="1"/>
    <xf numFmtId="0" fontId="0" fillId="0" borderId="0" xfId="0" applyAlignment="1">
      <alignment horizontal="left"/>
    </xf>
    <xf numFmtId="0" fontId="19" fillId="0" borderId="0" xfId="0" applyFont="1" applyAlignment="1">
      <alignment vertical="center"/>
    </xf>
    <xf numFmtId="0" fontId="0" fillId="0" borderId="0" xfId="0" applyAlignment="1">
      <alignment horizontal="left" vertical="center" indent="1"/>
    </xf>
    <xf numFmtId="0" fontId="16" fillId="0" borderId="0" xfId="0" applyFont="1" applyAlignment="1">
      <alignment horizontal="left" vertical="center" indent="1"/>
    </xf>
    <xf numFmtId="0" fontId="0" fillId="34" borderId="10" xfId="0" applyFill="1" applyBorder="1"/>
    <xf numFmtId="164" fontId="0" fillId="34" borderId="10" xfId="0" applyNumberFormat="1" applyFill="1" applyBorder="1"/>
    <xf numFmtId="165" fontId="0" fillId="34" borderId="10" xfId="0" applyNumberFormat="1" applyFill="1" applyBorder="1"/>
    <xf numFmtId="0" fontId="0" fillId="0" borderId="10" xfId="0" applyBorder="1"/>
    <xf numFmtId="164" fontId="0" fillId="0" borderId="10" xfId="0" applyNumberFormat="1" applyBorder="1"/>
    <xf numFmtId="165" fontId="0" fillId="0" borderId="10" xfId="0" applyNumberFormat="1" applyBorder="1"/>
    <xf numFmtId="0" fontId="0" fillId="0" borderId="12" xfId="0" applyBorder="1" applyAlignment="1">
      <alignment horizontal="center" vertical="center" wrapText="1"/>
    </xf>
    <xf numFmtId="0" fontId="0" fillId="0" borderId="0" xfId="0" applyNumberFormat="1"/>
    <xf numFmtId="0" fontId="13" fillId="33" borderId="0" xfId="0" applyFont="1" applyFill="1" applyBorder="1"/>
    <xf numFmtId="165" fontId="13" fillId="33" borderId="0" xfId="0" applyNumberFormat="1" applyFont="1" applyFill="1" applyBorder="1"/>
    <xf numFmtId="0" fontId="0" fillId="0" borderId="0" xfId="0" applyBorder="1"/>
    <xf numFmtId="0" fontId="0" fillId="0" borderId="0" xfId="0" applyBorder="1" applyAlignment="1">
      <alignment wrapText="1"/>
    </xf>
    <xf numFmtId="165" fontId="0" fillId="0" borderId="0" xfId="0" applyNumberFormat="1" applyBorder="1"/>
    <xf numFmtId="166" fontId="0" fillId="0" borderId="0" xfId="0" applyNumberFormat="1" applyBorder="1"/>
    <xf numFmtId="0" fontId="20" fillId="0" borderId="0" xfId="0" applyFont="1" applyBorder="1"/>
    <xf numFmtId="0" fontId="0" fillId="0" borderId="0" xfId="0" applyBorder="1" applyAlignment="1">
      <alignment horizontal="center"/>
    </xf>
    <xf numFmtId="0" fontId="0" fillId="0" borderId="13" xfId="0"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6">
    <dxf>
      <font>
        <color rgb="FF006100"/>
      </font>
      <fill>
        <patternFill>
          <bgColor rgb="FFC6EFCE"/>
        </patternFill>
      </fill>
    </dxf>
    <dxf>
      <fill>
        <patternFill>
          <bgColor theme="9"/>
        </patternFill>
      </fill>
    </dxf>
    <dxf>
      <font>
        <color rgb="FF006100"/>
      </font>
      <fill>
        <patternFill>
          <bgColor rgb="FFC6EFCE"/>
        </patternFill>
      </fill>
    </dxf>
    <dxf>
      <font>
        <color theme="0"/>
      </font>
      <fill>
        <patternFill>
          <bgColor theme="9" tint="-0.24994659260841701"/>
        </patternFill>
      </fill>
    </dxf>
    <dxf>
      <fill>
        <patternFill>
          <bgColor rgb="FFFFFF00"/>
        </patternFill>
      </fill>
    </dxf>
    <dxf>
      <fill>
        <patternFill>
          <bgColor rgb="FFFF0000"/>
        </patternFill>
      </fill>
    </dxf>
    <dxf>
      <fill>
        <patternFill>
          <bgColor theme="9" tint="0.59996337778862885"/>
        </patternFill>
      </fill>
    </dxf>
    <dxf>
      <font>
        <color theme="0"/>
      </font>
      <fill>
        <patternFill>
          <bgColor theme="9" tint="-0.24994659260841701"/>
        </patternFill>
      </fill>
    </dxf>
    <dxf>
      <fill>
        <patternFill>
          <bgColor rgb="FFFFFF00"/>
        </patternFill>
      </fill>
    </dxf>
    <dxf>
      <fill>
        <patternFill>
          <bgColor rgb="FFFF0000"/>
        </patternFill>
      </fill>
    </dxf>
    <dxf>
      <fill>
        <patternFill>
          <bgColor theme="9" tint="0.59996337778862885"/>
        </patternFill>
      </fill>
    </dxf>
    <dxf>
      <font>
        <color theme="0"/>
      </font>
      <fill>
        <patternFill>
          <bgColor theme="9" tint="-0.24994659260841701"/>
        </patternFill>
      </fill>
    </dxf>
    <dxf>
      <fill>
        <patternFill>
          <bgColor rgb="FFFFFF00"/>
        </patternFill>
      </fill>
    </dxf>
    <dxf>
      <fill>
        <patternFill>
          <bgColor rgb="FFFF0000"/>
        </patternFill>
      </fill>
    </dxf>
    <dxf>
      <fill>
        <patternFill>
          <bgColor theme="9" tint="0.59996337778862885"/>
        </patternFill>
      </fill>
    </dxf>
    <dxf>
      <font>
        <b/>
        <i val="0"/>
        <strike val="0"/>
        <condense val="0"/>
        <extend val="0"/>
        <outline val="0"/>
        <shadow val="0"/>
        <u val="none"/>
        <vertAlign val="baseline"/>
        <sz val="13"/>
        <color theme="0"/>
        <name val="Times New Roman"/>
        <family val="2"/>
        <scheme val="none"/>
      </font>
      <fill>
        <patternFill patternType="solid">
          <fgColor theme="4"/>
          <bgColor theme="4"/>
        </patternFill>
      </fill>
    </dxf>
    <dxf>
      <fill>
        <patternFill patternType="solid">
          <fgColor theme="4" tint="0.79998168889431442"/>
          <bgColor theme="4" tint="0.79998168889431442"/>
        </patternFill>
      </fill>
    </dxf>
    <dxf>
      <fill>
        <patternFill patternType="solid">
          <fgColor theme="4" tint="0.79998168889431442"/>
          <bgColor theme="4" tint="0.79998168889431442"/>
        </patternFill>
      </fill>
      <border diagonalUp="0" diagonalDown="0">
        <left/>
        <right/>
        <top style="thin">
          <color theme="4" tint="0.39997558519241921"/>
        </top>
        <bottom/>
        <vertical/>
        <horizontal/>
      </border>
    </dxf>
    <dxf>
      <numFmt numFmtId="165" formatCode="&quot;₹&quot;\ #,##0"/>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numFmt numFmtId="164" formatCode="General\ &quot;%&quot;"/>
      <fill>
        <patternFill patternType="solid">
          <fgColor theme="4" tint="0.79998168889431442"/>
          <bgColor theme="4" tint="0.79998168889431442"/>
        </patternFill>
      </fill>
      <border diagonalUp="0" diagonalDown="0">
        <left/>
        <right/>
        <top style="thin">
          <color theme="4" tint="0.39997558519241921"/>
        </top>
        <bottom/>
        <vertical/>
        <horizontal/>
      </border>
    </dxf>
    <dxf>
      <numFmt numFmtId="164" formatCode="General\ &quot;%&quot;"/>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numFmt numFmtId="164" formatCode="General\ &quot;%&quot;"/>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numFmt numFmtId="164" formatCode="General\ &quot;%&quot;"/>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3"/>
        <color theme="1"/>
        <name val="Times New Roman"/>
        <family val="2"/>
        <scheme val="none"/>
      </font>
      <numFmt numFmtId="164" formatCode="General\ &quot;%&quot;"/>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numFmt numFmtId="164" formatCode="General\ &quot;%&quot;"/>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fill>
        <patternFill patternType="solid">
          <fgColor theme="4" tint="0.79998168889431442"/>
          <bgColor theme="4" tint="0.79998168889431442"/>
        </patternFill>
      </fill>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[Placement_Data_Full_Class for portfolio.xlsx]Placement_asper_department!Placement_asper_department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Placement_asper_department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Placement_asper_department!$B$3:$B$4</c:f>
              <c:strCache>
                <c:ptCount val="1"/>
                <c:pt idx="0">
                  <c:v>Not Placed</c:v>
                </c:pt>
              </c:strCache>
            </c:strRef>
          </c:tx>
          <c:spPr>
            <a:solidFill>
              <a:schemeClr val="tx2">
                <a:lumMod val="90000"/>
                <a:lumOff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Placement_asper_department!$A$5:$A$8</c:f>
              <c:strCache>
                <c:ptCount val="3"/>
                <c:pt idx="0">
                  <c:v>Arts</c:v>
                </c:pt>
                <c:pt idx="1">
                  <c:v>Commerce</c:v>
                </c:pt>
                <c:pt idx="2">
                  <c:v>Science</c:v>
                </c:pt>
              </c:strCache>
            </c:strRef>
          </c:cat>
          <c:val>
            <c:numRef>
              <c:f>Placement_asper_department!$B$5:$B$8</c:f>
              <c:numCache>
                <c:formatCode>General</c:formatCode>
                <c:ptCount val="3"/>
                <c:pt idx="0">
                  <c:v>5</c:v>
                </c:pt>
                <c:pt idx="1">
                  <c:v>34</c:v>
                </c:pt>
                <c:pt idx="2">
                  <c:v>28</c:v>
                </c:pt>
              </c:numCache>
            </c:numRef>
          </c:val>
          <c:extLst>
            <c:ext xmlns:c16="http://schemas.microsoft.com/office/drawing/2014/chart" uri="{C3380CC4-5D6E-409C-BE32-E72D297353CC}">
              <c16:uniqueId val="{00000000-08CA-42A5-94D0-FDC29E43AFEC}"/>
            </c:ext>
          </c:extLst>
        </c:ser>
        <c:ser>
          <c:idx val="1"/>
          <c:order val="1"/>
          <c:tx>
            <c:strRef>
              <c:f>Placement_asper_department!$C$3:$C$4</c:f>
              <c:strCache>
                <c:ptCount val="1"/>
                <c:pt idx="0">
                  <c:v>Placed</c:v>
                </c:pt>
              </c:strCache>
            </c:strRef>
          </c:tx>
          <c:spPr>
            <a:solidFill>
              <a:schemeClr val="tx2">
                <a:lumMod val="10000"/>
                <a:lumOff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Placement_asper_department!$A$5:$A$8</c:f>
              <c:strCache>
                <c:ptCount val="3"/>
                <c:pt idx="0">
                  <c:v>Arts</c:v>
                </c:pt>
                <c:pt idx="1">
                  <c:v>Commerce</c:v>
                </c:pt>
                <c:pt idx="2">
                  <c:v>Science</c:v>
                </c:pt>
              </c:strCache>
            </c:strRef>
          </c:cat>
          <c:val>
            <c:numRef>
              <c:f>Placement_asper_department!$C$5:$C$8</c:f>
              <c:numCache>
                <c:formatCode>General</c:formatCode>
                <c:ptCount val="3"/>
                <c:pt idx="0">
                  <c:v>6</c:v>
                </c:pt>
                <c:pt idx="1">
                  <c:v>79</c:v>
                </c:pt>
                <c:pt idx="2">
                  <c:v>63</c:v>
                </c:pt>
              </c:numCache>
            </c:numRef>
          </c:val>
          <c:extLst>
            <c:ext xmlns:c16="http://schemas.microsoft.com/office/drawing/2014/chart" uri="{C3380CC4-5D6E-409C-BE32-E72D297353CC}">
              <c16:uniqueId val="{00000001-3994-44A8-ABDD-CD3F4888B0C5}"/>
            </c:ext>
          </c:extLst>
        </c:ser>
        <c:dLbls>
          <c:dLblPos val="outEnd"/>
          <c:showLegendKey val="0"/>
          <c:showVal val="1"/>
          <c:showCatName val="0"/>
          <c:showSerName val="0"/>
          <c:showPercent val="0"/>
          <c:showBubbleSize val="0"/>
        </c:dLbls>
        <c:gapWidth val="219"/>
        <c:overlap val="-27"/>
        <c:axId val="698374943"/>
        <c:axId val="698372543"/>
      </c:barChart>
      <c:catAx>
        <c:axId val="69837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372543"/>
        <c:crosses val="autoZero"/>
        <c:auto val="1"/>
        <c:lblAlgn val="ctr"/>
        <c:lblOffset val="100"/>
        <c:noMultiLvlLbl val="0"/>
      </c:catAx>
      <c:valAx>
        <c:axId val="698372543"/>
        <c:scaling>
          <c:orientation val="minMax"/>
        </c:scaling>
        <c:delete val="1"/>
        <c:axPos val="l"/>
        <c:numFmt formatCode="General" sourceLinked="1"/>
        <c:majorTickMark val="none"/>
        <c:minorTickMark val="none"/>
        <c:tickLblPos val="nextTo"/>
        <c:crossAx val="698374943"/>
        <c:crosses val="autoZero"/>
        <c:crossBetween val="between"/>
      </c:valAx>
      <c:spPr>
        <a:noFill/>
        <a:ln>
          <a:noFill/>
        </a:ln>
        <a:effectLst/>
      </c:spPr>
    </c:plotArea>
    <c:legend>
      <c:legendPos val="t"/>
      <c:layout>
        <c:manualLayout>
          <c:xMode val="edge"/>
          <c:yMode val="edge"/>
          <c:x val="0.13490384029922153"/>
          <c:y val="0.11355269306030809"/>
          <c:w val="0.6484455268994912"/>
          <c:h val="5.971377709966032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[Placement_Data_Full_Class for portfolio.xlsx]Number_Of_student_per_departmen!Number_Of_student_per_department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a:t>
            </a:r>
            <a:r>
              <a:rPr lang="en-US" baseline="0"/>
              <a:t>_Of_student_per_department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4">
              <a:lumMod val="50000"/>
            </a:schemeClr>
          </a:solidFill>
          <a:ln w="19050">
            <a:noFill/>
          </a:ln>
          <a:effectLst/>
        </c:spPr>
        <c:dLbl>
          <c:idx val="0"/>
          <c:layout>
            <c:manualLayout>
              <c:x val="0.11388888888888889"/>
              <c:y val="0.14814814814814822"/>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4">
              <a:lumMod val="40000"/>
              <a:lumOff val="60000"/>
            </a:schemeClr>
          </a:solidFill>
          <a:ln w="19050">
            <a:noFill/>
          </a:ln>
          <a:effectLst/>
        </c:spPr>
        <c:dLbl>
          <c:idx val="0"/>
          <c:layout>
            <c:manualLayout>
              <c:x val="-0.10555555555555558"/>
              <c:y val="-1.8518518518518517E-2"/>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4">
              <a:lumMod val="20000"/>
              <a:lumOff val="80000"/>
            </a:schemeClr>
          </a:solidFill>
          <a:ln w="19050">
            <a:noFill/>
          </a:ln>
          <a:effectLst/>
        </c:spPr>
        <c:dLbl>
          <c:idx val="0"/>
          <c:layout>
            <c:manualLayout>
              <c:x val="-3.7632696390658173E-2"/>
              <c:y val="-0.13454300937285055"/>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4">
              <a:lumMod val="20000"/>
              <a:lumOff val="80000"/>
            </a:schemeClr>
          </a:solidFill>
          <a:ln w="19050">
            <a:noFill/>
          </a:ln>
          <a:effectLst/>
        </c:spPr>
        <c:dLbl>
          <c:idx val="0"/>
          <c:layout>
            <c:manualLayout>
              <c:x val="-3.7632696390658173E-2"/>
              <c:y val="-0.13454300937285055"/>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4">
              <a:lumMod val="50000"/>
            </a:schemeClr>
          </a:solidFill>
          <a:ln w="19050">
            <a:noFill/>
          </a:ln>
          <a:effectLst/>
        </c:spPr>
        <c:dLbl>
          <c:idx val="0"/>
          <c:layout>
            <c:manualLayout>
              <c:x val="0.11388888888888889"/>
              <c:y val="0.14814814814814822"/>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4">
              <a:lumMod val="40000"/>
              <a:lumOff val="60000"/>
            </a:schemeClr>
          </a:solidFill>
          <a:ln w="19050">
            <a:noFill/>
          </a:ln>
          <a:effectLst/>
        </c:spPr>
        <c:dLbl>
          <c:idx val="0"/>
          <c:layout>
            <c:manualLayout>
              <c:x val="-0.10555555555555558"/>
              <c:y val="-1.8518518518518517E-2"/>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4">
              <a:lumMod val="20000"/>
              <a:lumOff val="80000"/>
            </a:schemeClr>
          </a:solidFill>
          <a:ln w="19050">
            <a:noFill/>
          </a:ln>
          <a:effectLst/>
        </c:spPr>
        <c:dLbl>
          <c:idx val="0"/>
          <c:layout>
            <c:manualLayout>
              <c:x val="-3.7632696390658173E-2"/>
              <c:y val="-0.13454300937285055"/>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4">
              <a:lumMod val="50000"/>
            </a:schemeClr>
          </a:solidFill>
          <a:ln w="19050">
            <a:noFill/>
          </a:ln>
          <a:effectLst/>
        </c:spPr>
        <c:dLbl>
          <c:idx val="0"/>
          <c:layout>
            <c:manualLayout>
              <c:x val="0.11388888888888889"/>
              <c:y val="0.14814814814814822"/>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4">
              <a:lumMod val="40000"/>
              <a:lumOff val="60000"/>
            </a:schemeClr>
          </a:solidFill>
          <a:ln w="19050">
            <a:noFill/>
          </a:ln>
          <a:effectLst/>
        </c:spPr>
        <c:dLbl>
          <c:idx val="0"/>
          <c:layout>
            <c:manualLayout>
              <c:x val="-0.10555555555555558"/>
              <c:y val="-1.8518518518518517E-2"/>
            </c:manualLayout>
          </c:layout>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Number_Of_student_per_departmen!$B$3</c:f>
              <c:strCache>
                <c:ptCount val="1"/>
                <c:pt idx="0">
                  <c:v>Total</c:v>
                </c:pt>
              </c:strCache>
            </c:strRef>
          </c:tx>
          <c:dPt>
            <c:idx val="0"/>
            <c:bubble3D val="0"/>
            <c:spPr>
              <a:solidFill>
                <a:schemeClr val="accent4">
                  <a:lumMod val="20000"/>
                  <a:lumOff val="80000"/>
                </a:schemeClr>
              </a:solidFill>
              <a:ln w="19050">
                <a:noFill/>
              </a:ln>
              <a:effectLst/>
            </c:spPr>
            <c:extLst>
              <c:ext xmlns:c16="http://schemas.microsoft.com/office/drawing/2014/chart" uri="{C3380CC4-5D6E-409C-BE32-E72D297353CC}">
                <c16:uniqueId val="{00000001-C396-46A9-ABE8-54A279C2260E}"/>
              </c:ext>
            </c:extLst>
          </c:dPt>
          <c:dPt>
            <c:idx val="1"/>
            <c:bubble3D val="0"/>
            <c:spPr>
              <a:solidFill>
                <a:schemeClr val="accent4">
                  <a:lumMod val="50000"/>
                </a:schemeClr>
              </a:solidFill>
              <a:ln w="19050">
                <a:noFill/>
              </a:ln>
              <a:effectLst/>
            </c:spPr>
            <c:extLst>
              <c:ext xmlns:c16="http://schemas.microsoft.com/office/drawing/2014/chart" uri="{C3380CC4-5D6E-409C-BE32-E72D297353CC}">
                <c16:uniqueId val="{00000003-C396-46A9-ABE8-54A279C2260E}"/>
              </c:ext>
            </c:extLst>
          </c:dPt>
          <c:dPt>
            <c:idx val="2"/>
            <c:bubble3D val="0"/>
            <c:spPr>
              <a:solidFill>
                <a:schemeClr val="accent4">
                  <a:lumMod val="40000"/>
                  <a:lumOff val="60000"/>
                </a:schemeClr>
              </a:solidFill>
              <a:ln w="19050">
                <a:noFill/>
              </a:ln>
              <a:effectLst/>
            </c:spPr>
            <c:extLst>
              <c:ext xmlns:c16="http://schemas.microsoft.com/office/drawing/2014/chart" uri="{C3380CC4-5D6E-409C-BE32-E72D297353CC}">
                <c16:uniqueId val="{00000005-C396-46A9-ABE8-54A279C2260E}"/>
              </c:ext>
            </c:extLst>
          </c:dPt>
          <c:dLbls>
            <c:dLbl>
              <c:idx val="0"/>
              <c:layout>
                <c:manualLayout>
                  <c:x val="-3.7632696390658173E-2"/>
                  <c:y val="-0.13454300937285055"/>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396-46A9-ABE8-54A279C2260E}"/>
                </c:ext>
              </c:extLst>
            </c:dLbl>
            <c:dLbl>
              <c:idx val="1"/>
              <c:layout>
                <c:manualLayout>
                  <c:x val="0.11388888888888889"/>
                  <c:y val="0.1481481481481482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396-46A9-ABE8-54A279C2260E}"/>
                </c:ext>
              </c:extLst>
            </c:dLbl>
            <c:dLbl>
              <c:idx val="2"/>
              <c:layout>
                <c:manualLayout>
                  <c:x val="-0.10555555555555558"/>
                  <c:y val="-1.851851851851851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396-46A9-ABE8-54A279C2260E}"/>
                </c:ext>
              </c:extLst>
            </c:dLbl>
            <c:spPr>
              <a:solidFill>
                <a:srgbClr val="196B24">
                  <a:lumMod val="40000"/>
                  <a:lumOff val="60000"/>
                  <a:alpha val="5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Number_Of_student_per_departmen!$A$4:$A$7</c:f>
              <c:strCache>
                <c:ptCount val="3"/>
                <c:pt idx="0">
                  <c:v>Arts</c:v>
                </c:pt>
                <c:pt idx="1">
                  <c:v>Commerce</c:v>
                </c:pt>
                <c:pt idx="2">
                  <c:v>Science</c:v>
                </c:pt>
              </c:strCache>
            </c:strRef>
          </c:cat>
          <c:val>
            <c:numRef>
              <c:f>Number_Of_student_per_departmen!$B$4:$B$7</c:f>
              <c:numCache>
                <c:formatCode>General</c:formatCode>
                <c:ptCount val="3"/>
                <c:pt idx="0">
                  <c:v>11</c:v>
                </c:pt>
                <c:pt idx="1">
                  <c:v>113</c:v>
                </c:pt>
                <c:pt idx="2">
                  <c:v>91</c:v>
                </c:pt>
              </c:numCache>
            </c:numRef>
          </c:val>
          <c:extLst>
            <c:ext xmlns:c16="http://schemas.microsoft.com/office/drawing/2014/chart" uri="{C3380CC4-5D6E-409C-BE32-E72D297353CC}">
              <c16:uniqueId val="{00000006-C396-46A9-ABE8-54A279C2260E}"/>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[Placement_Data_Full_Class for portfolio.xlsx]Placement_status_on_previous_ex!Placement_status_on_previous_experience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Placement_status_on_previous</a:t>
            </a:r>
            <a:r>
              <a:rPr lang="en-IN" baseline="0"/>
              <a:t>_experience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10000"/>
              <a:lumOff val="90000"/>
            </a:schemeClr>
          </a:solidFill>
          <a:ln>
            <a:noFill/>
          </a:ln>
          <a:effectLst/>
        </c:spPr>
      </c:pivotFmt>
    </c:pivotFmts>
    <c:plotArea>
      <c:layout/>
      <c:barChart>
        <c:barDir val="col"/>
        <c:grouping val="clustered"/>
        <c:varyColors val="0"/>
        <c:ser>
          <c:idx val="0"/>
          <c:order val="0"/>
          <c:tx>
            <c:strRef>
              <c:f>Placement_status_on_previous_ex!$B$3:$B$4</c:f>
              <c:strCache>
                <c:ptCount val="1"/>
                <c:pt idx="0">
                  <c:v>Mkt&amp;Fin</c:v>
                </c:pt>
              </c:strCache>
            </c:strRef>
          </c:tx>
          <c:spPr>
            <a:solidFill>
              <a:schemeClr val="tx2">
                <a:lumMod val="90000"/>
                <a:lumOff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Placement_status_on_previous_ex!$A$5:$A$7</c:f>
              <c:strCache>
                <c:ptCount val="2"/>
                <c:pt idx="0">
                  <c:v>Yes</c:v>
                </c:pt>
                <c:pt idx="1">
                  <c:v>No</c:v>
                </c:pt>
              </c:strCache>
            </c:strRef>
          </c:cat>
          <c:val>
            <c:numRef>
              <c:f>Placement_status_on_previous_ex!$B$5:$B$7</c:f>
              <c:numCache>
                <c:formatCode>General</c:formatCode>
                <c:ptCount val="2"/>
                <c:pt idx="0">
                  <c:v>51</c:v>
                </c:pt>
                <c:pt idx="1">
                  <c:v>69</c:v>
                </c:pt>
              </c:numCache>
            </c:numRef>
          </c:val>
          <c:extLst>
            <c:ext xmlns:c16="http://schemas.microsoft.com/office/drawing/2014/chart" uri="{C3380CC4-5D6E-409C-BE32-E72D297353CC}">
              <c16:uniqueId val="{00000000-7386-4B16-BFA3-BA6EF88B72E0}"/>
            </c:ext>
          </c:extLst>
        </c:ser>
        <c:ser>
          <c:idx val="1"/>
          <c:order val="1"/>
          <c:tx>
            <c:strRef>
              <c:f>Placement_status_on_previous_ex!$C$3:$C$4</c:f>
              <c:strCache>
                <c:ptCount val="1"/>
                <c:pt idx="0">
                  <c:v>Mkt&amp;HR</c:v>
                </c:pt>
              </c:strCache>
            </c:strRef>
          </c:tx>
          <c:spPr>
            <a:solidFill>
              <a:schemeClr val="tx2">
                <a:lumMod val="10000"/>
                <a:lumOff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Placement_status_on_previous_ex!$A$5:$A$7</c:f>
              <c:strCache>
                <c:ptCount val="2"/>
                <c:pt idx="0">
                  <c:v>Yes</c:v>
                </c:pt>
                <c:pt idx="1">
                  <c:v>No</c:v>
                </c:pt>
              </c:strCache>
            </c:strRef>
          </c:cat>
          <c:val>
            <c:numRef>
              <c:f>Placement_status_on_previous_ex!$C$5:$C$7</c:f>
              <c:numCache>
                <c:formatCode>General</c:formatCode>
                <c:ptCount val="2"/>
                <c:pt idx="0">
                  <c:v>23</c:v>
                </c:pt>
                <c:pt idx="1">
                  <c:v>72</c:v>
                </c:pt>
              </c:numCache>
            </c:numRef>
          </c:val>
          <c:extLst>
            <c:ext xmlns:c16="http://schemas.microsoft.com/office/drawing/2014/chart" uri="{C3380CC4-5D6E-409C-BE32-E72D297353CC}">
              <c16:uniqueId val="{00000001-7386-4B16-BFA3-BA6EF88B72E0}"/>
            </c:ext>
          </c:extLst>
        </c:ser>
        <c:dLbls>
          <c:dLblPos val="outEnd"/>
          <c:showLegendKey val="0"/>
          <c:showVal val="1"/>
          <c:showCatName val="0"/>
          <c:showSerName val="0"/>
          <c:showPercent val="0"/>
          <c:showBubbleSize val="0"/>
        </c:dLbls>
        <c:gapWidth val="219"/>
        <c:overlap val="-27"/>
        <c:axId val="1398700351"/>
        <c:axId val="1398696991"/>
      </c:barChart>
      <c:catAx>
        <c:axId val="139870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8696991"/>
        <c:crosses val="autoZero"/>
        <c:auto val="1"/>
        <c:lblAlgn val="ctr"/>
        <c:lblOffset val="100"/>
        <c:noMultiLvlLbl val="0"/>
      </c:catAx>
      <c:valAx>
        <c:axId val="1398696991"/>
        <c:scaling>
          <c:orientation val="minMax"/>
        </c:scaling>
        <c:delete val="1"/>
        <c:axPos val="l"/>
        <c:numFmt formatCode="General" sourceLinked="1"/>
        <c:majorTickMark val="none"/>
        <c:minorTickMark val="none"/>
        <c:tickLblPos val="nextTo"/>
        <c:crossAx val="1398700351"/>
        <c:crosses val="autoZero"/>
        <c:crossBetween val="between"/>
      </c:valAx>
      <c:spPr>
        <a:noFill/>
        <a:ln>
          <a:noFill/>
        </a:ln>
        <a:effectLst/>
      </c:spPr>
    </c:plotArea>
    <c:legend>
      <c:legendPos val="t"/>
      <c:layout>
        <c:manualLayout>
          <c:xMode val="edge"/>
          <c:yMode val="edge"/>
          <c:x val="4.846142279090114E-2"/>
          <c:y val="0.12789490564391665"/>
          <c:w val="0.90524712243000871"/>
          <c:h val="6.725589399933344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[Placement_Data_Full_Class for portfolio.xlsx]Placement_As_Per_Grade!PivotTable25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Placement_As_Per_Grade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Placement_As_Per_Grade!$B$3:$B$4</c:f>
              <c:strCache>
                <c:ptCount val="1"/>
                <c:pt idx="0">
                  <c:v>Distinction</c:v>
                </c:pt>
              </c:strCache>
            </c:strRef>
          </c:tx>
          <c:spPr>
            <a:solidFill>
              <a:schemeClr val="tx2">
                <a:lumMod val="90000"/>
                <a:lumOff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Placement_As_Per_Grade!$A$5:$A$7</c:f>
              <c:strCache>
                <c:ptCount val="2"/>
                <c:pt idx="0">
                  <c:v>Not Placed</c:v>
                </c:pt>
                <c:pt idx="1">
                  <c:v>Placed</c:v>
                </c:pt>
              </c:strCache>
            </c:strRef>
          </c:cat>
          <c:val>
            <c:numRef>
              <c:f>Placement_As_Per_Grade!$B$5:$B$7</c:f>
              <c:numCache>
                <c:formatCode>General</c:formatCode>
                <c:ptCount val="2"/>
                <c:pt idx="0">
                  <c:v>1</c:v>
                </c:pt>
                <c:pt idx="1">
                  <c:v>3</c:v>
                </c:pt>
              </c:numCache>
            </c:numRef>
          </c:val>
          <c:extLst>
            <c:ext xmlns:c16="http://schemas.microsoft.com/office/drawing/2014/chart" uri="{C3380CC4-5D6E-409C-BE32-E72D297353CC}">
              <c16:uniqueId val="{00000000-FEAF-45EC-A370-D3443E8F52F0}"/>
            </c:ext>
          </c:extLst>
        </c:ser>
        <c:ser>
          <c:idx val="1"/>
          <c:order val="1"/>
          <c:tx>
            <c:strRef>
              <c:f>Placement_As_Per_Grade!$C$3:$C$4</c:f>
              <c:strCache>
                <c:ptCount val="1"/>
                <c:pt idx="0">
                  <c:v>First Class</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Placement_As_Per_Grade!$A$5:$A$7</c:f>
              <c:strCache>
                <c:ptCount val="2"/>
                <c:pt idx="0">
                  <c:v>Not Placed</c:v>
                </c:pt>
                <c:pt idx="1">
                  <c:v>Placed</c:v>
                </c:pt>
              </c:strCache>
            </c:strRef>
          </c:cat>
          <c:val>
            <c:numRef>
              <c:f>Placement_As_Per_Grade!$C$5:$C$7</c:f>
              <c:numCache>
                <c:formatCode>General</c:formatCode>
                <c:ptCount val="2"/>
                <c:pt idx="0">
                  <c:v>38</c:v>
                </c:pt>
                <c:pt idx="1">
                  <c:v>92</c:v>
                </c:pt>
              </c:numCache>
            </c:numRef>
          </c:val>
          <c:extLst>
            <c:ext xmlns:c16="http://schemas.microsoft.com/office/drawing/2014/chart" uri="{C3380CC4-5D6E-409C-BE32-E72D297353CC}">
              <c16:uniqueId val="{00000004-FEAF-45EC-A370-D3443E8F52F0}"/>
            </c:ext>
          </c:extLst>
        </c:ser>
        <c:ser>
          <c:idx val="2"/>
          <c:order val="2"/>
          <c:tx>
            <c:strRef>
              <c:f>Placement_As_Per_Grade!$D$3:$D$4</c:f>
              <c:strCache>
                <c:ptCount val="1"/>
                <c:pt idx="0">
                  <c:v>Pass</c:v>
                </c:pt>
              </c:strCache>
            </c:strRef>
          </c:tx>
          <c:spPr>
            <a:solidFill>
              <a:schemeClr val="tx2">
                <a:lumMod val="10000"/>
                <a:lumOff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Placement_As_Per_Grade!$A$5:$A$7</c:f>
              <c:strCache>
                <c:ptCount val="2"/>
                <c:pt idx="0">
                  <c:v>Not Placed</c:v>
                </c:pt>
                <c:pt idx="1">
                  <c:v>Placed</c:v>
                </c:pt>
              </c:strCache>
            </c:strRef>
          </c:cat>
          <c:val>
            <c:numRef>
              <c:f>Placement_As_Per_Grade!$D$5:$D$7</c:f>
              <c:numCache>
                <c:formatCode>General</c:formatCode>
                <c:ptCount val="2"/>
                <c:pt idx="0">
                  <c:v>28</c:v>
                </c:pt>
                <c:pt idx="1">
                  <c:v>53</c:v>
                </c:pt>
              </c:numCache>
            </c:numRef>
          </c:val>
          <c:extLst>
            <c:ext xmlns:c16="http://schemas.microsoft.com/office/drawing/2014/chart" uri="{C3380CC4-5D6E-409C-BE32-E72D297353CC}">
              <c16:uniqueId val="{00000005-FEAF-45EC-A370-D3443E8F52F0}"/>
            </c:ext>
          </c:extLst>
        </c:ser>
        <c:dLbls>
          <c:dLblPos val="outEnd"/>
          <c:showLegendKey val="0"/>
          <c:showVal val="1"/>
          <c:showCatName val="0"/>
          <c:showSerName val="0"/>
          <c:showPercent val="0"/>
          <c:showBubbleSize val="0"/>
        </c:dLbls>
        <c:gapWidth val="219"/>
        <c:overlap val="-27"/>
        <c:axId val="1256261583"/>
        <c:axId val="1256252463"/>
      </c:barChart>
      <c:catAx>
        <c:axId val="125626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6252463"/>
        <c:crosses val="autoZero"/>
        <c:auto val="1"/>
        <c:lblAlgn val="ctr"/>
        <c:lblOffset val="100"/>
        <c:noMultiLvlLbl val="0"/>
      </c:catAx>
      <c:valAx>
        <c:axId val="1256252463"/>
        <c:scaling>
          <c:orientation val="minMax"/>
        </c:scaling>
        <c:delete val="1"/>
        <c:axPos val="l"/>
        <c:numFmt formatCode="General" sourceLinked="1"/>
        <c:majorTickMark val="none"/>
        <c:minorTickMark val="none"/>
        <c:tickLblPos val="nextTo"/>
        <c:crossAx val="1256261583"/>
        <c:crosses val="autoZero"/>
        <c:crossBetween val="between"/>
      </c:valAx>
      <c:spPr>
        <a:noFill/>
        <a:ln>
          <a:noFill/>
        </a:ln>
        <a:effectLst/>
      </c:spPr>
    </c:plotArea>
    <c:legend>
      <c:legendPos val="t"/>
      <c:layout>
        <c:manualLayout>
          <c:xMode val="edge"/>
          <c:yMode val="edge"/>
          <c:x val="6.210796673032478E-2"/>
          <c:y val="0.1153562121186818"/>
          <c:w val="0.87578406653935037"/>
          <c:h val="6.06621908461270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568037</xdr:colOff>
      <xdr:row>15</xdr:row>
      <xdr:rowOff>27014</xdr:rowOff>
    </xdr:from>
    <xdr:to>
      <xdr:col>13</xdr:col>
      <xdr:colOff>441960</xdr:colOff>
      <xdr:row>31</xdr:row>
      <xdr:rowOff>124690</xdr:rowOff>
    </xdr:to>
    <xdr:graphicFrame macro="">
      <xdr:nvGraphicFramePr>
        <xdr:cNvPr id="2" name="Placement_asper_department">
          <a:extLst>
            <a:ext uri="{FF2B5EF4-FFF2-40B4-BE49-F238E27FC236}">
              <a16:creationId xmlns:a16="http://schemas.microsoft.com/office/drawing/2014/main" id="{F023C229-7C91-4EE5-9D60-745387F4E5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581891</xdr:colOff>
      <xdr:row>1</xdr:row>
      <xdr:rowOff>287481</xdr:rowOff>
    </xdr:from>
    <xdr:to>
      <xdr:col>13</xdr:col>
      <xdr:colOff>290946</xdr:colOff>
      <xdr:row>9</xdr:row>
      <xdr:rowOff>176299</xdr:rowOff>
    </xdr:to>
    <xdr:graphicFrame macro="">
      <xdr:nvGraphicFramePr>
        <xdr:cNvPr id="3" name="Chart 1Number_Of_student_per_department">
          <a:extLst>
            <a:ext uri="{FF2B5EF4-FFF2-40B4-BE49-F238E27FC236}">
              <a16:creationId xmlns:a16="http://schemas.microsoft.com/office/drawing/2014/main" id="{9ECABED7-B928-4A2F-A95A-2EB432B37B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498762</xdr:colOff>
      <xdr:row>1</xdr:row>
      <xdr:rowOff>277090</xdr:rowOff>
    </xdr:from>
    <xdr:to>
      <xdr:col>22</xdr:col>
      <xdr:colOff>476595</xdr:colOff>
      <xdr:row>9</xdr:row>
      <xdr:rowOff>193963</xdr:rowOff>
    </xdr:to>
    <xdr:graphicFrame macro="">
      <xdr:nvGraphicFramePr>
        <xdr:cNvPr id="4" name="Chart 3">
          <a:extLst>
            <a:ext uri="{FF2B5EF4-FFF2-40B4-BE49-F238E27FC236}">
              <a16:creationId xmlns:a16="http://schemas.microsoft.com/office/drawing/2014/main" id="{88DAC5F2-0A67-4BD8-8486-222C0CEA42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540328</xdr:colOff>
      <xdr:row>15</xdr:row>
      <xdr:rowOff>41563</xdr:rowOff>
    </xdr:from>
    <xdr:to>
      <xdr:col>22</xdr:col>
      <xdr:colOff>526473</xdr:colOff>
      <xdr:row>31</xdr:row>
      <xdr:rowOff>83127</xdr:rowOff>
    </xdr:to>
    <xdr:graphicFrame macro="">
      <xdr:nvGraphicFramePr>
        <xdr:cNvPr id="5" name="Placement_As_Per_Grade">
          <a:extLst>
            <a:ext uri="{FF2B5EF4-FFF2-40B4-BE49-F238E27FC236}">
              <a16:creationId xmlns:a16="http://schemas.microsoft.com/office/drawing/2014/main" id="{9E94BCEE-06F9-405D-97E3-A67A656797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665019</xdr:colOff>
      <xdr:row>10</xdr:row>
      <xdr:rowOff>138545</xdr:rowOff>
    </xdr:from>
    <xdr:to>
      <xdr:col>9</xdr:col>
      <xdr:colOff>263238</xdr:colOff>
      <xdr:row>14</xdr:row>
      <xdr:rowOff>83127</xdr:rowOff>
    </xdr:to>
    <mc:AlternateContent xmlns:mc="http://schemas.openxmlformats.org/markup-compatibility/2006">
      <mc:Choice xmlns:a14="http://schemas.microsoft.com/office/drawing/2010/main" Requires="a14">
        <xdr:graphicFrame macro="">
          <xdr:nvGraphicFramePr>
            <xdr:cNvPr id="7" name="Hsc_S">
              <a:extLst>
                <a:ext uri="{FF2B5EF4-FFF2-40B4-BE49-F238E27FC236}">
                  <a16:creationId xmlns:a16="http://schemas.microsoft.com/office/drawing/2014/main" id="{B2DB3CD7-AFC3-2CEB-ADEC-84D9BBADAFC7}"/>
                </a:ext>
              </a:extLst>
            </xdr:cNvPr>
            <xdr:cNvGraphicFramePr/>
          </xdr:nvGraphicFramePr>
          <xdr:xfrm>
            <a:off x="0" y="0"/>
            <a:ext cx="0" cy="0"/>
          </xdr:xfrm>
          <a:graphic>
            <a:graphicData uri="http://schemas.microsoft.com/office/drawing/2010/slicer">
              <sle:slicer xmlns:sle="http://schemas.microsoft.com/office/drawing/2010/slicer" name="Hsc_S"/>
            </a:graphicData>
          </a:graphic>
        </xdr:graphicFrame>
      </mc:Choice>
      <mc:Fallback>
        <xdr:sp macro="" textlink="">
          <xdr:nvSpPr>
            <xdr:cNvPr id="0" name=""/>
            <xdr:cNvSpPr>
              <a:spLocks noTextEdit="1"/>
            </xdr:cNvSpPr>
          </xdr:nvSpPr>
          <xdr:spPr>
            <a:xfrm>
              <a:off x="7162801" y="3823854"/>
              <a:ext cx="2535382" cy="7758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83128</xdr:colOff>
      <xdr:row>10</xdr:row>
      <xdr:rowOff>137162</xdr:rowOff>
    </xdr:from>
    <xdr:to>
      <xdr:col>13</xdr:col>
      <xdr:colOff>382385</xdr:colOff>
      <xdr:row>14</xdr:row>
      <xdr:rowOff>83127</xdr:rowOff>
    </xdr:to>
    <mc:AlternateContent xmlns:mc="http://schemas.openxmlformats.org/markup-compatibility/2006">
      <mc:Choice xmlns:a14="http://schemas.microsoft.com/office/drawing/2010/main" Requires="a14">
        <xdr:graphicFrame macro="">
          <xdr:nvGraphicFramePr>
            <xdr:cNvPr id="8" name="Status">
              <a:extLst>
                <a:ext uri="{FF2B5EF4-FFF2-40B4-BE49-F238E27FC236}">
                  <a16:creationId xmlns:a16="http://schemas.microsoft.com/office/drawing/2014/main" id="{961CA19F-C308-56A8-1632-000BB2160F4E}"/>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10252364" y="3822471"/>
              <a:ext cx="2502130" cy="777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533399</xdr:colOff>
      <xdr:row>10</xdr:row>
      <xdr:rowOff>114994</xdr:rowOff>
    </xdr:from>
    <xdr:to>
      <xdr:col>18</xdr:col>
      <xdr:colOff>41562</xdr:colOff>
      <xdr:row>14</xdr:row>
      <xdr:rowOff>27710</xdr:rowOff>
    </xdr:to>
    <mc:AlternateContent xmlns:mc="http://schemas.openxmlformats.org/markup-compatibility/2006">
      <mc:Choice xmlns:a14="http://schemas.microsoft.com/office/drawing/2010/main" Requires="a14">
        <xdr:graphicFrame macro="">
          <xdr:nvGraphicFramePr>
            <xdr:cNvPr id="11" name="Grade">
              <a:extLst>
                <a:ext uri="{FF2B5EF4-FFF2-40B4-BE49-F238E27FC236}">
                  <a16:creationId xmlns:a16="http://schemas.microsoft.com/office/drawing/2014/main" id="{50BBBCB5-3999-68FF-EFE2-254D20AEA7D9}"/>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dr:sp macro="" textlink="">
          <xdr:nvSpPr>
            <xdr:cNvPr id="0" name=""/>
            <xdr:cNvSpPr>
              <a:spLocks noTextEdit="1"/>
            </xdr:cNvSpPr>
          </xdr:nvSpPr>
          <xdr:spPr>
            <a:xfrm>
              <a:off x="13639799" y="3800303"/>
              <a:ext cx="2445327" cy="7439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471054</xdr:colOff>
      <xdr:row>10</xdr:row>
      <xdr:rowOff>138546</xdr:rowOff>
    </xdr:from>
    <xdr:to>
      <xdr:col>22</xdr:col>
      <xdr:colOff>403860</xdr:colOff>
      <xdr:row>14</xdr:row>
      <xdr:rowOff>55418</xdr:rowOff>
    </xdr:to>
    <mc:AlternateContent xmlns:mc="http://schemas.openxmlformats.org/markup-compatibility/2006">
      <mc:Choice xmlns:a14="http://schemas.microsoft.com/office/drawing/2010/main" Requires="a14">
        <xdr:graphicFrame macro="">
          <xdr:nvGraphicFramePr>
            <xdr:cNvPr id="12" name="Status 1">
              <a:extLst>
                <a:ext uri="{FF2B5EF4-FFF2-40B4-BE49-F238E27FC236}">
                  <a16:creationId xmlns:a16="http://schemas.microsoft.com/office/drawing/2014/main" id="{2B803DA9-2D2E-99E6-5B42-5A1943D4E34F}"/>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dr:sp macro="" textlink="">
          <xdr:nvSpPr>
            <xdr:cNvPr id="0" name=""/>
            <xdr:cNvSpPr>
              <a:spLocks noTextEdit="1"/>
            </xdr:cNvSpPr>
          </xdr:nvSpPr>
          <xdr:spPr>
            <a:xfrm>
              <a:off x="16514618" y="3823855"/>
              <a:ext cx="2869969" cy="7481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nay tirthani" refreshedDate="46088.050872916669" createdVersion="8" refreshedVersion="8" minRefreshableVersion="3" recordCount="215" xr:uid="{C9FD9744-68A8-4F74-9115-D0121A35A1F5}">
  <cacheSource type="worksheet">
    <worksheetSource ref="A1:R216" sheet="Placement_Data_Full_Class"/>
  </cacheSource>
  <cacheFields count="17">
    <cacheField name="Sl_No" numFmtId="0">
      <sharedItems containsSemiMixedTypes="0" containsString="0" containsNumber="1" containsInteger="1" minValue="1" maxValue="215"/>
    </cacheField>
    <cacheField name="Gender " numFmtId="0">
      <sharedItems/>
    </cacheField>
    <cacheField name="Ssc_P" numFmtId="164">
      <sharedItems containsSemiMixedTypes="0" containsString="0" containsNumber="1" minValue="40.89" maxValue="89.4"/>
    </cacheField>
    <cacheField name="Ssc_B" numFmtId="0">
      <sharedItems/>
    </cacheField>
    <cacheField name="Hsc_P" numFmtId="164">
      <sharedItems containsSemiMixedTypes="0" containsString="0" containsNumber="1" minValue="37" maxValue="97.7"/>
    </cacheField>
    <cacheField name="Hsc_B" numFmtId="0">
      <sharedItems/>
    </cacheField>
    <cacheField name="Hsc_S" numFmtId="0">
      <sharedItems count="3">
        <s v="Commerce"/>
        <s v="Science"/>
        <s v="Arts"/>
      </sharedItems>
    </cacheField>
    <cacheField name="Degree_P" numFmtId="164">
      <sharedItems containsSemiMixedTypes="0" containsString="0" containsNumber="1" minValue="50" maxValue="91"/>
    </cacheField>
    <cacheField name="Degree_T" numFmtId="0">
      <sharedItems/>
    </cacheField>
    <cacheField name="Workex" numFmtId="0">
      <sharedItems count="2">
        <s v="No"/>
        <s v="Yes"/>
      </sharedItems>
    </cacheField>
    <cacheField name="Etest_P" numFmtId="164">
      <sharedItems containsSemiMixedTypes="0" containsString="0" containsNumber="1" minValue="50" maxValue="98"/>
    </cacheField>
    <cacheField name="Specialisation" numFmtId="0">
      <sharedItems count="2">
        <s v="Mkt&amp;HR"/>
        <s v="Mkt&amp;Fin"/>
      </sharedItems>
    </cacheField>
    <cacheField name="Mba_P" numFmtId="164">
      <sharedItems containsSemiMixedTypes="0" containsString="0" containsNumber="1" minValue="51.21" maxValue="77.89"/>
    </cacheField>
    <cacheField name="Grade" numFmtId="164">
      <sharedItems/>
    </cacheField>
    <cacheField name="Status" numFmtId="0">
      <sharedItems count="2">
        <s v="Placed"/>
        <s v="Not Placed"/>
      </sharedItems>
    </cacheField>
    <cacheField name="Placement status" numFmtId="0">
      <sharedItems containsSemiMixedTypes="0" containsString="0" containsNumber="1" containsInteger="1" minValue="0" maxValue="1" count="2">
        <n v="1"/>
        <n v="0"/>
      </sharedItems>
    </cacheField>
    <cacheField name="Adjusted Salary " numFmtId="165">
      <sharedItems containsSemiMixedTypes="0" containsString="0" containsNumber="1" containsInteger="1" minValue="0" maxValue="940000"/>
    </cacheField>
  </cacheFields>
  <extLst>
    <ext xmlns:x14="http://schemas.microsoft.com/office/spreadsheetml/2009/9/main" uri="{725AE2AE-9491-48be-B2B4-4EB974FC3084}">
      <x14:pivotCacheDefinition pivotCacheId="186450180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nay tirthani" refreshedDate="46095.135329050929" createdVersion="8" refreshedVersion="8" minRefreshableVersion="3" recordCount="215" xr:uid="{4CF85FFD-D800-48F0-B077-A89A91872534}">
  <cacheSource type="worksheet">
    <worksheetSource name="Table1"/>
  </cacheSource>
  <cacheFields count="18">
    <cacheField name="Sl_No" numFmtId="0">
      <sharedItems containsSemiMixedTypes="0" containsString="0" containsNumber="1" containsInteger="1" minValue="1" maxValue="215"/>
    </cacheField>
    <cacheField name="Gender " numFmtId="0">
      <sharedItems/>
    </cacheField>
    <cacheField name="Ssc_P" numFmtId="164">
      <sharedItems containsSemiMixedTypes="0" containsString="0" containsNumber="1" minValue="40.89" maxValue="89.4"/>
    </cacheField>
    <cacheField name="Ssc_B" numFmtId="0">
      <sharedItems/>
    </cacheField>
    <cacheField name="Hsc_P" numFmtId="164">
      <sharedItems containsSemiMixedTypes="0" containsString="0" containsNumber="1" minValue="37" maxValue="97.7"/>
    </cacheField>
    <cacheField name="Hsc_B" numFmtId="0">
      <sharedItems/>
    </cacheField>
    <cacheField name="Hsc_S" numFmtId="0">
      <sharedItems/>
    </cacheField>
    <cacheField name="Degree_P" numFmtId="164">
      <sharedItems containsSemiMixedTypes="0" containsString="0" containsNumber="1" minValue="50" maxValue="91"/>
    </cacheField>
    <cacheField name="Degree_T" numFmtId="0">
      <sharedItems count="3">
        <s v="Sci&amp;Tech"/>
        <s v="Comm&amp;Mgmt"/>
        <s v="Others"/>
      </sharedItems>
    </cacheField>
    <cacheField name="Workex" numFmtId="0">
      <sharedItems/>
    </cacheField>
    <cacheField name="Etest_P" numFmtId="164">
      <sharedItems containsSemiMixedTypes="0" containsString="0" containsNumber="1" minValue="50" maxValue="98"/>
    </cacheField>
    <cacheField name="Specialisation" numFmtId="0">
      <sharedItems/>
    </cacheField>
    <cacheField name="Mba_P" numFmtId="164">
      <sharedItems containsSemiMixedTypes="0" containsString="0" containsNumber="1" minValue="51.21" maxValue="77.89"/>
    </cacheField>
    <cacheField name="Grade" numFmtId="164">
      <sharedItems count="3">
        <s v="Pass"/>
        <s v="First Class"/>
        <s v="Distinction"/>
      </sharedItems>
    </cacheField>
    <cacheField name="Status" numFmtId="0">
      <sharedItems count="2">
        <s v="Placed"/>
        <s v="Not Placed"/>
      </sharedItems>
    </cacheField>
    <cacheField name="Priority" numFmtId="0">
      <sharedItems/>
    </cacheField>
    <cacheField name="Adjusted Salary " numFmtId="165">
      <sharedItems containsSemiMixedTypes="0" containsString="0" containsNumber="1" containsInteger="1" minValue="0" maxValue="940000"/>
    </cacheField>
    <cacheField name="Salary with potential Sign-up Bonus" numFmtId="0">
      <sharedItems containsSemiMixedTypes="0" containsString="0" containsNumber="1" containsInteger="1" minValue="0" maxValue="940000"/>
    </cacheField>
  </cacheFields>
  <extLst>
    <ext xmlns:x14="http://schemas.microsoft.com/office/spreadsheetml/2009/9/main" uri="{725AE2AE-9491-48be-B2B4-4EB974FC3084}">
      <x14:pivotCacheDefinition pivotCacheId="12248468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n v="1"/>
    <s v="Male"/>
    <n v="67"/>
    <s v="Others"/>
    <n v="91"/>
    <s v="Others"/>
    <x v="0"/>
    <n v="58"/>
    <s v="Sci&amp;Tech"/>
    <x v="0"/>
    <n v="55"/>
    <x v="0"/>
    <n v="58.8"/>
    <s v="Pass"/>
    <x v="0"/>
    <x v="0"/>
    <n v="270000"/>
  </r>
  <r>
    <n v="2"/>
    <s v="Male"/>
    <n v="79.33"/>
    <s v="Central"/>
    <n v="78.33"/>
    <s v="Others"/>
    <x v="1"/>
    <n v="77.48"/>
    <s v="Sci&amp;Tech"/>
    <x v="1"/>
    <n v="86.5"/>
    <x v="1"/>
    <n v="66.28"/>
    <s v="First Call"/>
    <x v="0"/>
    <x v="0"/>
    <n v="200000"/>
  </r>
  <r>
    <n v="3"/>
    <s v="Male"/>
    <n v="65"/>
    <s v="Central"/>
    <n v="68"/>
    <s v="Central"/>
    <x v="2"/>
    <n v="64"/>
    <s v="Comm&amp;Mgmt"/>
    <x v="0"/>
    <n v="75"/>
    <x v="1"/>
    <n v="57.8"/>
    <s v="Pass"/>
    <x v="0"/>
    <x v="0"/>
    <n v="250000"/>
  </r>
  <r>
    <n v="4"/>
    <s v="Male"/>
    <n v="56"/>
    <s v="Central"/>
    <n v="52"/>
    <s v="Central"/>
    <x v="1"/>
    <n v="52"/>
    <s v="Sci&amp;Tech"/>
    <x v="0"/>
    <n v="66"/>
    <x v="0"/>
    <n v="59.43"/>
    <s v="Pass"/>
    <x v="1"/>
    <x v="1"/>
    <n v="0"/>
  </r>
  <r>
    <n v="5"/>
    <s v="Male"/>
    <n v="85.8"/>
    <s v="Central"/>
    <n v="73.599999999999994"/>
    <s v="Central"/>
    <x v="0"/>
    <n v="73.3"/>
    <s v="Comm&amp;Mgmt"/>
    <x v="0"/>
    <n v="96.8"/>
    <x v="1"/>
    <n v="55.5"/>
    <s v="Pass"/>
    <x v="0"/>
    <x v="0"/>
    <n v="425000"/>
  </r>
  <r>
    <n v="6"/>
    <s v="Male"/>
    <n v="55"/>
    <s v="Others"/>
    <n v="49.8"/>
    <s v="Others"/>
    <x v="1"/>
    <n v="67.25"/>
    <s v="Sci&amp;Tech"/>
    <x v="1"/>
    <n v="55"/>
    <x v="1"/>
    <n v="51.58"/>
    <s v="Pass"/>
    <x v="1"/>
    <x v="1"/>
    <n v="0"/>
  </r>
  <r>
    <n v="7"/>
    <s v="Female"/>
    <n v="46"/>
    <s v="Others"/>
    <n v="49.2"/>
    <s v="Others"/>
    <x v="0"/>
    <n v="79"/>
    <s v="Comm&amp;Mgmt"/>
    <x v="0"/>
    <n v="74.28"/>
    <x v="1"/>
    <n v="53.29"/>
    <s v="Pass"/>
    <x v="1"/>
    <x v="1"/>
    <n v="0"/>
  </r>
  <r>
    <n v="8"/>
    <s v="Male"/>
    <n v="82"/>
    <s v="Central"/>
    <n v="64"/>
    <s v="Central"/>
    <x v="1"/>
    <n v="66"/>
    <s v="Sci&amp;Tech"/>
    <x v="1"/>
    <n v="67"/>
    <x v="1"/>
    <n v="62.14"/>
    <s v="First Call"/>
    <x v="0"/>
    <x v="0"/>
    <n v="252000"/>
  </r>
  <r>
    <n v="9"/>
    <s v="Male"/>
    <n v="73"/>
    <s v="Central"/>
    <n v="79"/>
    <s v="Central"/>
    <x v="0"/>
    <n v="72"/>
    <s v="Comm&amp;Mgmt"/>
    <x v="0"/>
    <n v="91.34"/>
    <x v="1"/>
    <n v="61.29"/>
    <s v="First Call"/>
    <x v="0"/>
    <x v="0"/>
    <n v="231000"/>
  </r>
  <r>
    <n v="10"/>
    <s v="Male"/>
    <n v="58"/>
    <s v="Central"/>
    <n v="70"/>
    <s v="Central"/>
    <x v="0"/>
    <n v="61"/>
    <s v="Comm&amp;Mgmt"/>
    <x v="0"/>
    <n v="54"/>
    <x v="1"/>
    <n v="52.21"/>
    <s v="Pass"/>
    <x v="1"/>
    <x v="1"/>
    <n v="0"/>
  </r>
  <r>
    <n v="11"/>
    <s v="Male"/>
    <n v="58"/>
    <s v="Central"/>
    <n v="61"/>
    <s v="Central"/>
    <x v="0"/>
    <n v="60"/>
    <s v="Comm&amp;Mgmt"/>
    <x v="1"/>
    <n v="62"/>
    <x v="0"/>
    <n v="60.85"/>
    <s v="First Call"/>
    <x v="0"/>
    <x v="0"/>
    <n v="260000"/>
  </r>
  <r>
    <n v="12"/>
    <s v="Male"/>
    <n v="69.599999999999994"/>
    <s v="Central"/>
    <n v="68.400000000000006"/>
    <s v="Central"/>
    <x v="0"/>
    <n v="78.3"/>
    <s v="Comm&amp;Mgmt"/>
    <x v="1"/>
    <n v="60"/>
    <x v="1"/>
    <n v="63.7"/>
    <s v="First Call"/>
    <x v="0"/>
    <x v="0"/>
    <n v="250000"/>
  </r>
  <r>
    <n v="13"/>
    <s v="Female"/>
    <n v="47"/>
    <s v="Central"/>
    <n v="55"/>
    <s v="Others"/>
    <x v="1"/>
    <n v="65"/>
    <s v="Comm&amp;Mgmt"/>
    <x v="0"/>
    <n v="62"/>
    <x v="0"/>
    <n v="65.040000000000006"/>
    <s v="First Call"/>
    <x v="1"/>
    <x v="1"/>
    <n v="0"/>
  </r>
  <r>
    <n v="14"/>
    <s v="Female"/>
    <n v="77"/>
    <s v="Central"/>
    <n v="87"/>
    <s v="Central"/>
    <x v="0"/>
    <n v="59"/>
    <s v="Comm&amp;Mgmt"/>
    <x v="0"/>
    <n v="68"/>
    <x v="1"/>
    <n v="68.63"/>
    <s v="First Call"/>
    <x v="0"/>
    <x v="0"/>
    <n v="218000"/>
  </r>
  <r>
    <n v="15"/>
    <s v="Male"/>
    <n v="62"/>
    <s v="Central"/>
    <n v="47"/>
    <s v="Central"/>
    <x v="0"/>
    <n v="50"/>
    <s v="Comm&amp;Mgmt"/>
    <x v="0"/>
    <n v="76"/>
    <x v="0"/>
    <n v="54.96"/>
    <s v="Pass"/>
    <x v="1"/>
    <x v="1"/>
    <n v="0"/>
  </r>
  <r>
    <n v="16"/>
    <s v="Female"/>
    <n v="65"/>
    <s v="Central"/>
    <n v="75"/>
    <s v="Central"/>
    <x v="0"/>
    <n v="69"/>
    <s v="Comm&amp;Mgmt"/>
    <x v="1"/>
    <n v="72"/>
    <x v="1"/>
    <n v="64.66"/>
    <s v="First Call"/>
    <x v="0"/>
    <x v="0"/>
    <n v="200000"/>
  </r>
  <r>
    <n v="17"/>
    <s v="Male"/>
    <n v="63"/>
    <s v="Central"/>
    <n v="66.2"/>
    <s v="Central"/>
    <x v="0"/>
    <n v="65.599999999999994"/>
    <s v="Comm&amp;Mgmt"/>
    <x v="1"/>
    <n v="60"/>
    <x v="1"/>
    <n v="62.54"/>
    <s v="First Call"/>
    <x v="0"/>
    <x v="0"/>
    <n v="300000"/>
  </r>
  <r>
    <n v="18"/>
    <s v="Female"/>
    <n v="55"/>
    <s v="Central"/>
    <n v="67"/>
    <s v="Central"/>
    <x v="0"/>
    <n v="64"/>
    <s v="Comm&amp;Mgmt"/>
    <x v="0"/>
    <n v="60"/>
    <x v="1"/>
    <n v="67.28"/>
    <s v="First Call"/>
    <x v="1"/>
    <x v="1"/>
    <n v="0"/>
  </r>
  <r>
    <n v="19"/>
    <s v="Female"/>
    <n v="63"/>
    <s v="Central"/>
    <n v="66"/>
    <s v="Central"/>
    <x v="0"/>
    <n v="64"/>
    <s v="Comm&amp;Mgmt"/>
    <x v="0"/>
    <n v="68"/>
    <x v="0"/>
    <n v="64.08"/>
    <s v="First Call"/>
    <x v="1"/>
    <x v="1"/>
    <n v="0"/>
  </r>
  <r>
    <n v="20"/>
    <s v="Male"/>
    <n v="60"/>
    <s v="Others"/>
    <n v="67"/>
    <s v="Others"/>
    <x v="2"/>
    <n v="70"/>
    <s v="Comm&amp;Mgmt"/>
    <x v="1"/>
    <n v="50.48"/>
    <x v="1"/>
    <n v="77.89"/>
    <s v="Distinction"/>
    <x v="0"/>
    <x v="0"/>
    <n v="236000"/>
  </r>
  <r>
    <n v="21"/>
    <s v="Male"/>
    <n v="62"/>
    <s v="Others"/>
    <n v="65"/>
    <s v="Others"/>
    <x v="0"/>
    <n v="66"/>
    <s v="Comm&amp;Mgmt"/>
    <x v="0"/>
    <n v="50"/>
    <x v="0"/>
    <n v="56.7"/>
    <s v="Pass"/>
    <x v="0"/>
    <x v="0"/>
    <n v="265000"/>
  </r>
  <r>
    <n v="22"/>
    <s v="Female"/>
    <n v="79"/>
    <s v="Others"/>
    <n v="76"/>
    <s v="Others"/>
    <x v="0"/>
    <n v="85"/>
    <s v="Comm&amp;Mgmt"/>
    <x v="0"/>
    <n v="95"/>
    <x v="1"/>
    <n v="69.06"/>
    <s v="First Call"/>
    <x v="0"/>
    <x v="0"/>
    <n v="393000"/>
  </r>
  <r>
    <n v="23"/>
    <s v="Female"/>
    <n v="69.8"/>
    <s v="Others"/>
    <n v="60.8"/>
    <s v="Others"/>
    <x v="1"/>
    <n v="72.23"/>
    <s v="Sci&amp;Tech"/>
    <x v="0"/>
    <n v="55.53"/>
    <x v="0"/>
    <n v="68.81"/>
    <s v="First Call"/>
    <x v="0"/>
    <x v="0"/>
    <n v="360000"/>
  </r>
  <r>
    <n v="24"/>
    <s v="Female"/>
    <n v="77.400000000000006"/>
    <s v="Others"/>
    <n v="60"/>
    <s v="Others"/>
    <x v="1"/>
    <n v="64.739999999999995"/>
    <s v="Sci&amp;Tech"/>
    <x v="1"/>
    <n v="92"/>
    <x v="1"/>
    <n v="63.62"/>
    <s v="First Call"/>
    <x v="0"/>
    <x v="0"/>
    <n v="300000"/>
  </r>
  <r>
    <n v="25"/>
    <s v="Male"/>
    <n v="76.5"/>
    <s v="Others"/>
    <n v="97.7"/>
    <s v="Others"/>
    <x v="1"/>
    <n v="78.86"/>
    <s v="Sci&amp;Tech"/>
    <x v="0"/>
    <n v="97.4"/>
    <x v="1"/>
    <n v="74.010000000000005"/>
    <s v="First Call"/>
    <x v="0"/>
    <x v="0"/>
    <n v="360000"/>
  </r>
  <r>
    <n v="26"/>
    <s v="Female"/>
    <n v="52.58"/>
    <s v="Others"/>
    <n v="54.6"/>
    <s v="Central"/>
    <x v="0"/>
    <n v="50.2"/>
    <s v="Comm&amp;Mgmt"/>
    <x v="1"/>
    <n v="76"/>
    <x v="1"/>
    <n v="65.33"/>
    <s v="First Call"/>
    <x v="1"/>
    <x v="1"/>
    <n v="0"/>
  </r>
  <r>
    <n v="27"/>
    <s v="Male"/>
    <n v="71"/>
    <s v="Others"/>
    <n v="79"/>
    <s v="Others"/>
    <x v="0"/>
    <n v="66"/>
    <s v="Comm&amp;Mgmt"/>
    <x v="1"/>
    <n v="94"/>
    <x v="1"/>
    <n v="57.55"/>
    <s v="Pass"/>
    <x v="0"/>
    <x v="0"/>
    <n v="240000"/>
  </r>
  <r>
    <n v="28"/>
    <s v="Male"/>
    <n v="63"/>
    <s v="Others"/>
    <n v="67"/>
    <s v="Others"/>
    <x v="0"/>
    <n v="66"/>
    <s v="Comm&amp;Mgmt"/>
    <x v="0"/>
    <n v="68"/>
    <x v="0"/>
    <n v="57.69"/>
    <s v="Pass"/>
    <x v="0"/>
    <x v="0"/>
    <n v="265000"/>
  </r>
  <r>
    <n v="29"/>
    <s v="Male"/>
    <n v="76.760000000000005"/>
    <s v="Others"/>
    <n v="76.5"/>
    <s v="Others"/>
    <x v="0"/>
    <n v="67.5"/>
    <s v="Comm&amp;Mgmt"/>
    <x v="1"/>
    <n v="73.349999999999994"/>
    <x v="1"/>
    <n v="64.150000000000006"/>
    <s v="First Call"/>
    <x v="0"/>
    <x v="0"/>
    <n v="350000"/>
  </r>
  <r>
    <n v="30"/>
    <s v="Male"/>
    <n v="62"/>
    <s v="Central"/>
    <n v="67"/>
    <s v="Central"/>
    <x v="0"/>
    <n v="58"/>
    <s v="Comm&amp;Mgmt"/>
    <x v="0"/>
    <n v="77"/>
    <x v="1"/>
    <n v="51.29"/>
    <s v="Pass"/>
    <x v="1"/>
    <x v="1"/>
    <n v="0"/>
  </r>
  <r>
    <n v="31"/>
    <s v="Female"/>
    <n v="64"/>
    <s v="Central"/>
    <n v="73.5"/>
    <s v="Central"/>
    <x v="0"/>
    <n v="73"/>
    <s v="Comm&amp;Mgmt"/>
    <x v="0"/>
    <n v="52"/>
    <x v="0"/>
    <n v="56.7"/>
    <s v="Pass"/>
    <x v="0"/>
    <x v="0"/>
    <n v="250000"/>
  </r>
  <r>
    <n v="32"/>
    <s v="Female"/>
    <n v="67"/>
    <s v="Central"/>
    <n v="53"/>
    <s v="Central"/>
    <x v="1"/>
    <n v="65"/>
    <s v="Sci&amp;Tech"/>
    <x v="0"/>
    <n v="64"/>
    <x v="0"/>
    <n v="58.32"/>
    <s v="Pass"/>
    <x v="1"/>
    <x v="1"/>
    <n v="0"/>
  </r>
  <r>
    <n v="33"/>
    <s v="Female"/>
    <n v="61"/>
    <s v="Central"/>
    <n v="81"/>
    <s v="Central"/>
    <x v="0"/>
    <n v="66.400000000000006"/>
    <s v="Comm&amp;Mgmt"/>
    <x v="0"/>
    <n v="50.89"/>
    <x v="0"/>
    <n v="62.21"/>
    <s v="First Call"/>
    <x v="0"/>
    <x v="0"/>
    <n v="278000"/>
  </r>
  <r>
    <n v="34"/>
    <s v="Female"/>
    <n v="87"/>
    <s v="Others"/>
    <n v="65"/>
    <s v="Others"/>
    <x v="1"/>
    <n v="81"/>
    <s v="Comm&amp;Mgmt"/>
    <x v="1"/>
    <n v="88"/>
    <x v="1"/>
    <n v="72.78"/>
    <s v="First Call"/>
    <x v="0"/>
    <x v="0"/>
    <n v="260000"/>
  </r>
  <r>
    <n v="35"/>
    <s v="Male"/>
    <n v="62"/>
    <s v="Others"/>
    <n v="51"/>
    <s v="Others"/>
    <x v="1"/>
    <n v="52"/>
    <s v="Others"/>
    <x v="0"/>
    <n v="68.44"/>
    <x v="0"/>
    <n v="62.77"/>
    <s v="First Call"/>
    <x v="1"/>
    <x v="1"/>
    <n v="0"/>
  </r>
  <r>
    <n v="36"/>
    <s v="Female"/>
    <n v="69"/>
    <s v="Central"/>
    <n v="78"/>
    <s v="Central"/>
    <x v="0"/>
    <n v="72"/>
    <s v="Comm&amp;Mgmt"/>
    <x v="0"/>
    <n v="71"/>
    <x v="0"/>
    <n v="62.74"/>
    <s v="First Call"/>
    <x v="0"/>
    <x v="0"/>
    <n v="300000"/>
  </r>
  <r>
    <n v="37"/>
    <s v="Male"/>
    <n v="51"/>
    <s v="Central"/>
    <n v="44"/>
    <s v="Central"/>
    <x v="0"/>
    <n v="57"/>
    <s v="Comm&amp;Mgmt"/>
    <x v="0"/>
    <n v="64"/>
    <x v="1"/>
    <n v="51.45"/>
    <s v="Pass"/>
    <x v="1"/>
    <x v="1"/>
    <n v="0"/>
  </r>
  <r>
    <n v="38"/>
    <s v="Female"/>
    <n v="79"/>
    <s v="Central"/>
    <n v="76"/>
    <s v="Central"/>
    <x v="1"/>
    <n v="65.599999999999994"/>
    <s v="Sci&amp;Tech"/>
    <x v="0"/>
    <n v="58"/>
    <x v="0"/>
    <n v="55.47"/>
    <s v="Pass"/>
    <x v="0"/>
    <x v="0"/>
    <n v="320000"/>
  </r>
  <r>
    <n v="39"/>
    <s v="Female"/>
    <n v="73"/>
    <s v="Others"/>
    <n v="58"/>
    <s v="Others"/>
    <x v="1"/>
    <n v="66"/>
    <s v="Comm&amp;Mgmt"/>
    <x v="0"/>
    <n v="53.7"/>
    <x v="0"/>
    <n v="56.86"/>
    <s v="Pass"/>
    <x v="0"/>
    <x v="0"/>
    <n v="240000"/>
  </r>
  <r>
    <n v="40"/>
    <s v="Male"/>
    <n v="81"/>
    <s v="Others"/>
    <n v="68"/>
    <s v="Others"/>
    <x v="1"/>
    <n v="64"/>
    <s v="Sci&amp;Tech"/>
    <x v="0"/>
    <n v="93"/>
    <x v="1"/>
    <n v="62.56"/>
    <s v="First Call"/>
    <x v="0"/>
    <x v="0"/>
    <n v="411000"/>
  </r>
  <r>
    <n v="41"/>
    <s v="Female"/>
    <n v="78"/>
    <s v="Central"/>
    <n v="77"/>
    <s v="Others"/>
    <x v="0"/>
    <n v="80"/>
    <s v="Comm&amp;Mgmt"/>
    <x v="0"/>
    <n v="60"/>
    <x v="1"/>
    <n v="66.72"/>
    <s v="First Call"/>
    <x v="0"/>
    <x v="0"/>
    <n v="287000"/>
  </r>
  <r>
    <n v="42"/>
    <s v="Female"/>
    <n v="74"/>
    <s v="Others"/>
    <n v="63.16"/>
    <s v="Others"/>
    <x v="0"/>
    <n v="65"/>
    <s v="Comm&amp;Mgmt"/>
    <x v="1"/>
    <n v="65"/>
    <x v="0"/>
    <n v="69.760000000000005"/>
    <s v="First Call"/>
    <x v="1"/>
    <x v="1"/>
    <n v="0"/>
  </r>
  <r>
    <n v="43"/>
    <s v="Male"/>
    <n v="49"/>
    <s v="Others"/>
    <n v="39"/>
    <s v="Central"/>
    <x v="1"/>
    <n v="65"/>
    <s v="Others"/>
    <x v="0"/>
    <n v="63"/>
    <x v="1"/>
    <n v="51.21"/>
    <s v="Pass"/>
    <x v="1"/>
    <x v="1"/>
    <n v="0"/>
  </r>
  <r>
    <n v="44"/>
    <s v="Male"/>
    <n v="87"/>
    <s v="Others"/>
    <n v="87"/>
    <s v="Others"/>
    <x v="0"/>
    <n v="68"/>
    <s v="Comm&amp;Mgmt"/>
    <x v="0"/>
    <n v="95"/>
    <x v="0"/>
    <n v="62.9"/>
    <s v="First Call"/>
    <x v="0"/>
    <x v="0"/>
    <n v="300000"/>
  </r>
  <r>
    <n v="45"/>
    <s v="Female"/>
    <n v="77"/>
    <s v="Others"/>
    <n v="73"/>
    <s v="Others"/>
    <x v="0"/>
    <n v="81"/>
    <s v="Comm&amp;Mgmt"/>
    <x v="1"/>
    <n v="89"/>
    <x v="1"/>
    <n v="69.7"/>
    <s v="First Call"/>
    <x v="0"/>
    <x v="0"/>
    <n v="200000"/>
  </r>
  <r>
    <n v="46"/>
    <s v="Female"/>
    <n v="76"/>
    <s v="Central"/>
    <n v="64"/>
    <s v="Central"/>
    <x v="1"/>
    <n v="72"/>
    <s v="Sci&amp;Tech"/>
    <x v="0"/>
    <n v="58"/>
    <x v="0"/>
    <n v="66.53"/>
    <s v="First Call"/>
    <x v="1"/>
    <x v="1"/>
    <n v="0"/>
  </r>
  <r>
    <n v="47"/>
    <s v="Female"/>
    <n v="70.89"/>
    <s v="Others"/>
    <n v="71.98"/>
    <s v="Others"/>
    <x v="1"/>
    <n v="65.599999999999994"/>
    <s v="Comm&amp;Mgmt"/>
    <x v="0"/>
    <n v="68"/>
    <x v="0"/>
    <n v="71.63"/>
    <s v="First Call"/>
    <x v="1"/>
    <x v="1"/>
    <n v="0"/>
  </r>
  <r>
    <n v="48"/>
    <s v="Male"/>
    <n v="63"/>
    <s v="Central"/>
    <n v="60"/>
    <s v="Central"/>
    <x v="0"/>
    <n v="57"/>
    <s v="Comm&amp;Mgmt"/>
    <x v="1"/>
    <n v="78"/>
    <x v="1"/>
    <n v="54.55"/>
    <s v="Pass"/>
    <x v="0"/>
    <x v="0"/>
    <n v="204000"/>
  </r>
  <r>
    <n v="49"/>
    <s v="Male"/>
    <n v="63"/>
    <s v="Others"/>
    <n v="62"/>
    <s v="Others"/>
    <x v="0"/>
    <n v="68"/>
    <s v="Comm&amp;Mgmt"/>
    <x v="0"/>
    <n v="64"/>
    <x v="1"/>
    <n v="62.46"/>
    <s v="First Call"/>
    <x v="0"/>
    <x v="0"/>
    <n v="250000"/>
  </r>
  <r>
    <n v="50"/>
    <s v="Female"/>
    <n v="50"/>
    <s v="Others"/>
    <n v="37"/>
    <s v="Others"/>
    <x v="2"/>
    <n v="52"/>
    <s v="Others"/>
    <x v="0"/>
    <n v="65"/>
    <x v="0"/>
    <n v="56.11"/>
    <s v="Pass"/>
    <x v="1"/>
    <x v="1"/>
    <n v="0"/>
  </r>
  <r>
    <n v="51"/>
    <s v="Female"/>
    <n v="75.2"/>
    <s v="Central"/>
    <n v="73.2"/>
    <s v="Central"/>
    <x v="1"/>
    <n v="68.400000000000006"/>
    <s v="Comm&amp;Mgmt"/>
    <x v="0"/>
    <n v="65"/>
    <x v="0"/>
    <n v="62.98"/>
    <s v="First Call"/>
    <x v="0"/>
    <x v="0"/>
    <n v="200000"/>
  </r>
  <r>
    <n v="52"/>
    <s v="Male"/>
    <n v="54.4"/>
    <s v="Central"/>
    <n v="61.12"/>
    <s v="Central"/>
    <x v="0"/>
    <n v="56.2"/>
    <s v="Comm&amp;Mgmt"/>
    <x v="0"/>
    <n v="67"/>
    <x v="0"/>
    <n v="62.65"/>
    <s v="First Call"/>
    <x v="1"/>
    <x v="1"/>
    <n v="0"/>
  </r>
  <r>
    <n v="53"/>
    <s v="Female"/>
    <n v="40.89"/>
    <s v="Others"/>
    <n v="45.83"/>
    <s v="Others"/>
    <x v="0"/>
    <n v="53"/>
    <s v="Comm&amp;Mgmt"/>
    <x v="0"/>
    <n v="71.2"/>
    <x v="0"/>
    <n v="65.489999999999995"/>
    <s v="First Call"/>
    <x v="1"/>
    <x v="1"/>
    <n v="0"/>
  </r>
  <r>
    <n v="54"/>
    <s v="Male"/>
    <n v="80"/>
    <s v="Others"/>
    <n v="70"/>
    <s v="Others"/>
    <x v="1"/>
    <n v="72"/>
    <s v="Sci&amp;Tech"/>
    <x v="0"/>
    <n v="87"/>
    <x v="0"/>
    <n v="71.040000000000006"/>
    <s v="First Call"/>
    <x v="0"/>
    <x v="0"/>
    <n v="450000"/>
  </r>
  <r>
    <n v="55"/>
    <s v="Female"/>
    <n v="74"/>
    <s v="Central"/>
    <n v="60"/>
    <s v="Others"/>
    <x v="1"/>
    <n v="69"/>
    <s v="Comm&amp;Mgmt"/>
    <x v="0"/>
    <n v="78"/>
    <x v="0"/>
    <n v="65.56"/>
    <s v="First Call"/>
    <x v="0"/>
    <x v="0"/>
    <n v="216000"/>
  </r>
  <r>
    <n v="56"/>
    <s v="Male"/>
    <n v="60.4"/>
    <s v="Central"/>
    <n v="66.599999999999994"/>
    <s v="Others"/>
    <x v="1"/>
    <n v="65"/>
    <s v="Comm&amp;Mgmt"/>
    <x v="0"/>
    <n v="71"/>
    <x v="0"/>
    <n v="52.71"/>
    <s v="Pass"/>
    <x v="0"/>
    <x v="0"/>
    <n v="220000"/>
  </r>
  <r>
    <n v="57"/>
    <s v="Male"/>
    <n v="63"/>
    <s v="Others"/>
    <n v="71.400000000000006"/>
    <s v="Others"/>
    <x v="0"/>
    <n v="61.4"/>
    <s v="Comm&amp;Mgmt"/>
    <x v="0"/>
    <n v="68"/>
    <x v="1"/>
    <n v="66.88"/>
    <s v="First Call"/>
    <x v="0"/>
    <x v="0"/>
    <n v="240000"/>
  </r>
  <r>
    <n v="58"/>
    <s v="Male"/>
    <n v="68"/>
    <s v="Central"/>
    <n v="76"/>
    <s v="Central"/>
    <x v="0"/>
    <n v="74"/>
    <s v="Comm&amp;Mgmt"/>
    <x v="0"/>
    <n v="80"/>
    <x v="1"/>
    <n v="63.59"/>
    <s v="First Call"/>
    <x v="0"/>
    <x v="0"/>
    <n v="360000"/>
  </r>
  <r>
    <n v="59"/>
    <s v="Male"/>
    <n v="74"/>
    <s v="Central"/>
    <n v="62"/>
    <s v="Others"/>
    <x v="1"/>
    <n v="68"/>
    <s v="Comm&amp;Mgmt"/>
    <x v="0"/>
    <n v="74"/>
    <x v="1"/>
    <n v="57.99"/>
    <s v="Pass"/>
    <x v="0"/>
    <x v="0"/>
    <n v="268000"/>
  </r>
  <r>
    <n v="60"/>
    <s v="Male"/>
    <n v="52.6"/>
    <s v="Central"/>
    <n v="65.58"/>
    <s v="Others"/>
    <x v="1"/>
    <n v="72.11"/>
    <s v="Sci&amp;Tech"/>
    <x v="0"/>
    <n v="57.6"/>
    <x v="1"/>
    <n v="56.66"/>
    <s v="Pass"/>
    <x v="0"/>
    <x v="0"/>
    <n v="265000"/>
  </r>
  <r>
    <n v="61"/>
    <s v="Male"/>
    <n v="74"/>
    <s v="Central"/>
    <n v="70"/>
    <s v="Central"/>
    <x v="1"/>
    <n v="72"/>
    <s v="Comm&amp;Mgmt"/>
    <x v="1"/>
    <n v="60"/>
    <x v="1"/>
    <n v="57.24"/>
    <s v="Pass"/>
    <x v="0"/>
    <x v="0"/>
    <n v="260000"/>
  </r>
  <r>
    <n v="62"/>
    <s v="Male"/>
    <n v="84.2"/>
    <s v="Central"/>
    <n v="73.400000000000006"/>
    <s v="Central"/>
    <x v="0"/>
    <n v="66.89"/>
    <s v="Comm&amp;Mgmt"/>
    <x v="0"/>
    <n v="61.6"/>
    <x v="1"/>
    <n v="62.48"/>
    <s v="First Call"/>
    <x v="0"/>
    <x v="0"/>
    <n v="300000"/>
  </r>
  <r>
    <n v="63"/>
    <s v="Female"/>
    <n v="86.5"/>
    <s v="Others"/>
    <n v="64.2"/>
    <s v="Others"/>
    <x v="1"/>
    <n v="67.400000000000006"/>
    <s v="Sci&amp;Tech"/>
    <x v="0"/>
    <n v="59"/>
    <x v="1"/>
    <n v="59.69"/>
    <s v="Pass"/>
    <x v="0"/>
    <x v="0"/>
    <n v="240000"/>
  </r>
  <r>
    <n v="64"/>
    <s v="Male"/>
    <n v="61"/>
    <s v="Others"/>
    <n v="70"/>
    <s v="Others"/>
    <x v="0"/>
    <n v="64"/>
    <s v="Comm&amp;Mgmt"/>
    <x v="0"/>
    <n v="68.5"/>
    <x v="0"/>
    <n v="59.5"/>
    <s v="Pass"/>
    <x v="1"/>
    <x v="1"/>
    <n v="0"/>
  </r>
  <r>
    <n v="65"/>
    <s v="Male"/>
    <n v="80"/>
    <s v="Others"/>
    <n v="73"/>
    <s v="Others"/>
    <x v="0"/>
    <n v="75"/>
    <s v="Comm&amp;Mgmt"/>
    <x v="0"/>
    <n v="61"/>
    <x v="1"/>
    <n v="58.78"/>
    <s v="Pass"/>
    <x v="0"/>
    <x v="0"/>
    <n v="240000"/>
  </r>
  <r>
    <n v="66"/>
    <s v="Male"/>
    <n v="54"/>
    <s v="Others"/>
    <n v="47"/>
    <s v="Others"/>
    <x v="1"/>
    <n v="57"/>
    <s v="Comm&amp;Mgmt"/>
    <x v="0"/>
    <n v="89.69"/>
    <x v="0"/>
    <n v="57.1"/>
    <s v="Pass"/>
    <x v="1"/>
    <x v="1"/>
    <n v="0"/>
  </r>
  <r>
    <n v="67"/>
    <s v="Male"/>
    <n v="83"/>
    <s v="Others"/>
    <n v="74"/>
    <s v="Others"/>
    <x v="1"/>
    <n v="66"/>
    <s v="Comm&amp;Mgmt"/>
    <x v="0"/>
    <n v="68.92"/>
    <x v="0"/>
    <n v="58.46"/>
    <s v="Pass"/>
    <x v="0"/>
    <x v="0"/>
    <n v="275000"/>
  </r>
  <r>
    <n v="68"/>
    <s v="Male"/>
    <n v="80.92"/>
    <s v="Others"/>
    <n v="78.5"/>
    <s v="Others"/>
    <x v="0"/>
    <n v="67"/>
    <s v="Comm&amp;Mgmt"/>
    <x v="0"/>
    <n v="68.709999999999994"/>
    <x v="1"/>
    <n v="60.99"/>
    <s v="First Call"/>
    <x v="0"/>
    <x v="0"/>
    <n v="275000"/>
  </r>
  <r>
    <n v="69"/>
    <s v="Female"/>
    <n v="69.7"/>
    <s v="Central"/>
    <n v="47"/>
    <s v="Central"/>
    <x v="0"/>
    <n v="72.7"/>
    <s v="Sci&amp;Tech"/>
    <x v="0"/>
    <n v="79"/>
    <x v="0"/>
    <n v="59.24"/>
    <s v="Pass"/>
    <x v="1"/>
    <x v="1"/>
    <n v="0"/>
  </r>
  <r>
    <n v="70"/>
    <s v="Male"/>
    <n v="73"/>
    <s v="Central"/>
    <n v="73"/>
    <s v="Central"/>
    <x v="1"/>
    <n v="66"/>
    <s v="Sci&amp;Tech"/>
    <x v="1"/>
    <n v="70"/>
    <x v="1"/>
    <n v="68.069999999999993"/>
    <s v="First Call"/>
    <x v="0"/>
    <x v="0"/>
    <n v="275000"/>
  </r>
  <r>
    <n v="71"/>
    <s v="Male"/>
    <n v="82"/>
    <s v="Others"/>
    <n v="61"/>
    <s v="Others"/>
    <x v="1"/>
    <n v="62"/>
    <s v="Sci&amp;Tech"/>
    <x v="0"/>
    <n v="89"/>
    <x v="1"/>
    <n v="65.45"/>
    <s v="First Call"/>
    <x v="0"/>
    <x v="0"/>
    <n v="360000"/>
  </r>
  <r>
    <n v="72"/>
    <s v="Male"/>
    <n v="75"/>
    <s v="Others"/>
    <n v="70.290000000000006"/>
    <s v="Others"/>
    <x v="0"/>
    <n v="71"/>
    <s v="Comm&amp;Mgmt"/>
    <x v="0"/>
    <n v="95"/>
    <x v="1"/>
    <n v="66.94"/>
    <s v="First Call"/>
    <x v="0"/>
    <x v="0"/>
    <n v="240000"/>
  </r>
  <r>
    <n v="73"/>
    <s v="Male"/>
    <n v="84.86"/>
    <s v="Others"/>
    <n v="67"/>
    <s v="Others"/>
    <x v="1"/>
    <n v="78"/>
    <s v="Comm&amp;Mgmt"/>
    <x v="0"/>
    <n v="95.5"/>
    <x v="1"/>
    <n v="68.53"/>
    <s v="First Call"/>
    <x v="0"/>
    <x v="0"/>
    <n v="240000"/>
  </r>
  <r>
    <n v="74"/>
    <s v="Male"/>
    <n v="64.599999999999994"/>
    <s v="Central"/>
    <n v="83.83"/>
    <s v="Others"/>
    <x v="0"/>
    <n v="71.72"/>
    <s v="Comm&amp;Mgmt"/>
    <x v="0"/>
    <n v="86"/>
    <x v="1"/>
    <n v="59.75"/>
    <s v="Pass"/>
    <x v="0"/>
    <x v="0"/>
    <n v="218000"/>
  </r>
  <r>
    <n v="75"/>
    <s v="Male"/>
    <n v="56.6"/>
    <s v="Central"/>
    <n v="64.8"/>
    <s v="Central"/>
    <x v="0"/>
    <n v="70.2"/>
    <s v="Comm&amp;Mgmt"/>
    <x v="0"/>
    <n v="84.27"/>
    <x v="1"/>
    <n v="67.2"/>
    <s v="First Call"/>
    <x v="0"/>
    <x v="0"/>
    <n v="336000"/>
  </r>
  <r>
    <n v="76"/>
    <s v="Female"/>
    <n v="59"/>
    <s v="Central"/>
    <n v="62"/>
    <s v="Others"/>
    <x v="0"/>
    <n v="77.5"/>
    <s v="Comm&amp;Mgmt"/>
    <x v="0"/>
    <n v="74"/>
    <x v="0"/>
    <n v="67"/>
    <s v="First Call"/>
    <x v="1"/>
    <x v="1"/>
    <n v="0"/>
  </r>
  <r>
    <n v="77"/>
    <s v="Female"/>
    <n v="66.5"/>
    <s v="Others"/>
    <n v="70.400000000000006"/>
    <s v="Central"/>
    <x v="2"/>
    <n v="71.930000000000007"/>
    <s v="Comm&amp;Mgmt"/>
    <x v="0"/>
    <n v="61"/>
    <x v="1"/>
    <n v="64.27"/>
    <s v="First Call"/>
    <x v="0"/>
    <x v="0"/>
    <n v="230000"/>
  </r>
  <r>
    <n v="78"/>
    <s v="Male"/>
    <n v="64"/>
    <s v="Others"/>
    <n v="80"/>
    <s v="Others"/>
    <x v="1"/>
    <n v="65"/>
    <s v="Sci&amp;Tech"/>
    <x v="1"/>
    <n v="69"/>
    <x v="1"/>
    <n v="57.65"/>
    <s v="Pass"/>
    <x v="0"/>
    <x v="0"/>
    <n v="500000"/>
  </r>
  <r>
    <n v="79"/>
    <s v="Male"/>
    <n v="84"/>
    <s v="Others"/>
    <n v="90.9"/>
    <s v="Others"/>
    <x v="1"/>
    <n v="64.5"/>
    <s v="Sci&amp;Tech"/>
    <x v="0"/>
    <n v="86.04"/>
    <x v="1"/>
    <n v="59.42"/>
    <s v="Pass"/>
    <x v="0"/>
    <x v="0"/>
    <n v="270000"/>
  </r>
  <r>
    <n v="80"/>
    <s v="Female"/>
    <n v="69"/>
    <s v="Central"/>
    <n v="62"/>
    <s v="Central"/>
    <x v="1"/>
    <n v="66"/>
    <s v="Sci&amp;Tech"/>
    <x v="0"/>
    <n v="75"/>
    <x v="0"/>
    <n v="67.989999999999995"/>
    <s v="First Call"/>
    <x v="1"/>
    <x v="1"/>
    <n v="0"/>
  </r>
  <r>
    <n v="81"/>
    <s v="Female"/>
    <n v="69"/>
    <s v="Others"/>
    <n v="62"/>
    <s v="Others"/>
    <x v="0"/>
    <n v="69"/>
    <s v="Comm&amp;Mgmt"/>
    <x v="1"/>
    <n v="67"/>
    <x v="0"/>
    <n v="62.35"/>
    <s v="First Call"/>
    <x v="0"/>
    <x v="0"/>
    <n v="240000"/>
  </r>
  <r>
    <n v="82"/>
    <s v="Male"/>
    <n v="81.7"/>
    <s v="Others"/>
    <n v="63"/>
    <s v="Others"/>
    <x v="1"/>
    <n v="67"/>
    <s v="Comm&amp;Mgmt"/>
    <x v="1"/>
    <n v="86"/>
    <x v="1"/>
    <n v="70.2"/>
    <s v="First Call"/>
    <x v="0"/>
    <x v="0"/>
    <n v="300000"/>
  </r>
  <r>
    <n v="83"/>
    <s v="Male"/>
    <n v="63"/>
    <s v="Central"/>
    <n v="67"/>
    <s v="Central"/>
    <x v="0"/>
    <n v="74"/>
    <s v="Comm&amp;Mgmt"/>
    <x v="0"/>
    <n v="82"/>
    <x v="1"/>
    <n v="60.44"/>
    <s v="First Call"/>
    <x v="1"/>
    <x v="1"/>
    <n v="0"/>
  </r>
  <r>
    <n v="84"/>
    <s v="Male"/>
    <n v="84"/>
    <s v="Others"/>
    <n v="79"/>
    <s v="Others"/>
    <x v="1"/>
    <n v="68"/>
    <s v="Sci&amp;Tech"/>
    <x v="1"/>
    <n v="84"/>
    <x v="1"/>
    <n v="66.69"/>
    <s v="First Call"/>
    <x v="0"/>
    <x v="0"/>
    <n v="300000"/>
  </r>
  <r>
    <n v="85"/>
    <s v="Male"/>
    <n v="70"/>
    <s v="Central"/>
    <n v="63"/>
    <s v="Others"/>
    <x v="1"/>
    <n v="70"/>
    <s v="Sci&amp;Tech"/>
    <x v="1"/>
    <n v="55"/>
    <x v="1"/>
    <n v="62"/>
    <s v="First Call"/>
    <x v="0"/>
    <x v="0"/>
    <n v="300000"/>
  </r>
  <r>
    <n v="86"/>
    <s v="Female"/>
    <n v="83.84"/>
    <s v="Others"/>
    <n v="89.83"/>
    <s v="Others"/>
    <x v="0"/>
    <n v="77.2"/>
    <s v="Comm&amp;Mgmt"/>
    <x v="1"/>
    <n v="78.739999999999995"/>
    <x v="1"/>
    <n v="76.180000000000007"/>
    <s v="Distinction"/>
    <x v="0"/>
    <x v="0"/>
    <n v="400000"/>
  </r>
  <r>
    <n v="87"/>
    <s v="Male"/>
    <n v="62"/>
    <s v="Others"/>
    <n v="63"/>
    <s v="Others"/>
    <x v="0"/>
    <n v="64"/>
    <s v="Comm&amp;Mgmt"/>
    <x v="0"/>
    <n v="67"/>
    <x v="1"/>
    <n v="57.03"/>
    <s v="Pass"/>
    <x v="0"/>
    <x v="0"/>
    <n v="220000"/>
  </r>
  <r>
    <n v="88"/>
    <s v="Male"/>
    <n v="59.6"/>
    <s v="Central"/>
    <n v="51"/>
    <s v="Central"/>
    <x v="1"/>
    <n v="60"/>
    <s v="Others"/>
    <x v="0"/>
    <n v="75"/>
    <x v="0"/>
    <n v="59.08"/>
    <s v="Pass"/>
    <x v="1"/>
    <x v="1"/>
    <n v="0"/>
  </r>
  <r>
    <n v="89"/>
    <s v="Female"/>
    <n v="66"/>
    <s v="Central"/>
    <n v="62"/>
    <s v="Central"/>
    <x v="0"/>
    <n v="73"/>
    <s v="Comm&amp;Mgmt"/>
    <x v="0"/>
    <n v="58"/>
    <x v="0"/>
    <n v="64.36"/>
    <s v="First Call"/>
    <x v="0"/>
    <x v="0"/>
    <n v="210000"/>
  </r>
  <r>
    <n v="90"/>
    <s v="Female"/>
    <n v="84"/>
    <s v="Others"/>
    <n v="75"/>
    <s v="Others"/>
    <x v="1"/>
    <n v="69"/>
    <s v="Sci&amp;Tech"/>
    <x v="1"/>
    <n v="62"/>
    <x v="0"/>
    <n v="62.36"/>
    <s v="First Call"/>
    <x v="0"/>
    <x v="0"/>
    <n v="210000"/>
  </r>
  <r>
    <n v="91"/>
    <s v="Female"/>
    <n v="85"/>
    <s v="Others"/>
    <n v="90"/>
    <s v="Others"/>
    <x v="0"/>
    <n v="82"/>
    <s v="Comm&amp;Mgmt"/>
    <x v="0"/>
    <n v="92"/>
    <x v="1"/>
    <n v="68.03"/>
    <s v="First Call"/>
    <x v="0"/>
    <x v="0"/>
    <n v="300000"/>
  </r>
  <r>
    <n v="92"/>
    <s v="Male"/>
    <n v="52"/>
    <s v="Central"/>
    <n v="57"/>
    <s v="Central"/>
    <x v="0"/>
    <n v="50.8"/>
    <s v="Comm&amp;Mgmt"/>
    <x v="0"/>
    <n v="67"/>
    <x v="0"/>
    <n v="62.79"/>
    <s v="First Call"/>
    <x v="1"/>
    <x v="1"/>
    <n v="0"/>
  </r>
  <r>
    <n v="93"/>
    <s v="Female"/>
    <n v="60.23"/>
    <s v="Central"/>
    <n v="69"/>
    <s v="Central"/>
    <x v="1"/>
    <n v="66"/>
    <s v="Comm&amp;Mgmt"/>
    <x v="0"/>
    <n v="72"/>
    <x v="1"/>
    <n v="59.47"/>
    <s v="Pass"/>
    <x v="0"/>
    <x v="0"/>
    <n v="230000"/>
  </r>
  <r>
    <n v="94"/>
    <s v="Male"/>
    <n v="52"/>
    <s v="Central"/>
    <n v="62"/>
    <s v="Central"/>
    <x v="0"/>
    <n v="54"/>
    <s v="Comm&amp;Mgmt"/>
    <x v="0"/>
    <n v="72"/>
    <x v="0"/>
    <n v="55.41"/>
    <s v="Pass"/>
    <x v="1"/>
    <x v="1"/>
    <n v="0"/>
  </r>
  <r>
    <n v="95"/>
    <s v="Male"/>
    <n v="58"/>
    <s v="Central"/>
    <n v="62"/>
    <s v="Central"/>
    <x v="0"/>
    <n v="64"/>
    <s v="Comm&amp;Mgmt"/>
    <x v="0"/>
    <n v="53.88"/>
    <x v="1"/>
    <n v="54.97"/>
    <s v="Pass"/>
    <x v="0"/>
    <x v="0"/>
    <n v="260000"/>
  </r>
  <r>
    <n v="96"/>
    <s v="Male"/>
    <n v="73"/>
    <s v="Central"/>
    <n v="78"/>
    <s v="Others"/>
    <x v="0"/>
    <n v="65"/>
    <s v="Comm&amp;Mgmt"/>
    <x v="1"/>
    <n v="95.46"/>
    <x v="1"/>
    <n v="62.16"/>
    <s v="First Call"/>
    <x v="0"/>
    <x v="0"/>
    <n v="420000"/>
  </r>
  <r>
    <n v="97"/>
    <s v="Female"/>
    <n v="76"/>
    <s v="Central"/>
    <n v="70"/>
    <s v="Central"/>
    <x v="1"/>
    <n v="76"/>
    <s v="Comm&amp;Mgmt"/>
    <x v="1"/>
    <n v="66"/>
    <x v="1"/>
    <n v="64.44"/>
    <s v="First Call"/>
    <x v="0"/>
    <x v="0"/>
    <n v="300000"/>
  </r>
  <r>
    <n v="98"/>
    <s v="Female"/>
    <n v="70.5"/>
    <s v="Central"/>
    <n v="62.5"/>
    <s v="Others"/>
    <x v="0"/>
    <n v="61"/>
    <s v="Comm&amp;Mgmt"/>
    <x v="0"/>
    <n v="93.91"/>
    <x v="1"/>
    <n v="69.03"/>
    <s v="First Call"/>
    <x v="1"/>
    <x v="1"/>
    <n v="0"/>
  </r>
  <r>
    <n v="99"/>
    <s v="Female"/>
    <n v="69"/>
    <s v="Central"/>
    <n v="73"/>
    <s v="Central"/>
    <x v="0"/>
    <n v="65"/>
    <s v="Comm&amp;Mgmt"/>
    <x v="0"/>
    <n v="70"/>
    <x v="1"/>
    <n v="57.31"/>
    <s v="Pass"/>
    <x v="0"/>
    <x v="0"/>
    <n v="220000"/>
  </r>
  <r>
    <n v="100"/>
    <s v="Male"/>
    <n v="54"/>
    <s v="Central"/>
    <n v="82"/>
    <s v="Others"/>
    <x v="0"/>
    <n v="63"/>
    <s v="Sci&amp;Tech"/>
    <x v="0"/>
    <n v="50"/>
    <x v="1"/>
    <n v="59.47"/>
    <s v="Pass"/>
    <x v="1"/>
    <x v="1"/>
    <n v="0"/>
  </r>
  <r>
    <n v="101"/>
    <s v="Female"/>
    <n v="45"/>
    <s v="Others"/>
    <n v="57"/>
    <s v="Others"/>
    <x v="0"/>
    <n v="58"/>
    <s v="Comm&amp;Mgmt"/>
    <x v="1"/>
    <n v="56.39"/>
    <x v="0"/>
    <n v="64.95"/>
    <s v="First Call"/>
    <x v="1"/>
    <x v="1"/>
    <n v="0"/>
  </r>
  <r>
    <n v="102"/>
    <s v="Male"/>
    <n v="63"/>
    <s v="Central"/>
    <n v="72"/>
    <s v="Central"/>
    <x v="0"/>
    <n v="68"/>
    <s v="Comm&amp;Mgmt"/>
    <x v="0"/>
    <n v="78"/>
    <x v="0"/>
    <n v="60.44"/>
    <s v="First Call"/>
    <x v="0"/>
    <x v="0"/>
    <n v="380000"/>
  </r>
  <r>
    <n v="103"/>
    <s v="Female"/>
    <n v="77"/>
    <s v="Others"/>
    <n v="61"/>
    <s v="Others"/>
    <x v="0"/>
    <n v="68"/>
    <s v="Comm&amp;Mgmt"/>
    <x v="1"/>
    <n v="57.5"/>
    <x v="1"/>
    <n v="61.31"/>
    <s v="First Call"/>
    <x v="0"/>
    <x v="0"/>
    <n v="300000"/>
  </r>
  <r>
    <n v="104"/>
    <s v="Male"/>
    <n v="73"/>
    <s v="Central"/>
    <n v="78"/>
    <s v="Central"/>
    <x v="1"/>
    <n v="73"/>
    <s v="Sci&amp;Tech"/>
    <x v="1"/>
    <n v="85"/>
    <x v="0"/>
    <n v="65.83"/>
    <s v="First Call"/>
    <x v="0"/>
    <x v="0"/>
    <n v="240000"/>
  </r>
  <r>
    <n v="105"/>
    <s v="Male"/>
    <n v="69"/>
    <s v="Central"/>
    <n v="63"/>
    <s v="Others"/>
    <x v="1"/>
    <n v="65"/>
    <s v="Comm&amp;Mgmt"/>
    <x v="1"/>
    <n v="55"/>
    <x v="0"/>
    <n v="58.23"/>
    <s v="Pass"/>
    <x v="0"/>
    <x v="0"/>
    <n v="360000"/>
  </r>
  <r>
    <n v="106"/>
    <s v="Male"/>
    <n v="59"/>
    <s v="Central"/>
    <n v="64"/>
    <s v="Others"/>
    <x v="1"/>
    <n v="58"/>
    <s v="Sci&amp;Tech"/>
    <x v="0"/>
    <n v="85"/>
    <x v="0"/>
    <n v="55.3"/>
    <s v="Pass"/>
    <x v="1"/>
    <x v="1"/>
    <n v="0"/>
  </r>
  <r>
    <n v="107"/>
    <s v="Male"/>
    <n v="61.08"/>
    <s v="Others"/>
    <n v="50"/>
    <s v="Others"/>
    <x v="1"/>
    <n v="54"/>
    <s v="Sci&amp;Tech"/>
    <x v="0"/>
    <n v="71"/>
    <x v="1"/>
    <n v="65.69"/>
    <s v="First Call"/>
    <x v="1"/>
    <x v="1"/>
    <n v="0"/>
  </r>
  <r>
    <n v="108"/>
    <s v="Male"/>
    <n v="82"/>
    <s v="Others"/>
    <n v="90"/>
    <s v="Others"/>
    <x v="0"/>
    <n v="83"/>
    <s v="Comm&amp;Mgmt"/>
    <x v="0"/>
    <n v="80"/>
    <x v="0"/>
    <n v="73.52"/>
    <s v="First Call"/>
    <x v="0"/>
    <x v="0"/>
    <n v="200000"/>
  </r>
  <r>
    <n v="109"/>
    <s v="Male"/>
    <n v="61"/>
    <s v="Central"/>
    <n v="82"/>
    <s v="Central"/>
    <x v="0"/>
    <n v="69"/>
    <s v="Comm&amp;Mgmt"/>
    <x v="0"/>
    <n v="84"/>
    <x v="1"/>
    <n v="58.31"/>
    <s v="Pass"/>
    <x v="0"/>
    <x v="0"/>
    <n v="300000"/>
  </r>
  <r>
    <n v="110"/>
    <s v="Male"/>
    <n v="52"/>
    <s v="Central"/>
    <n v="63"/>
    <s v="Others"/>
    <x v="1"/>
    <n v="65"/>
    <s v="Sci&amp;Tech"/>
    <x v="1"/>
    <n v="86"/>
    <x v="0"/>
    <n v="56.09"/>
    <s v="Pass"/>
    <x v="1"/>
    <x v="1"/>
    <n v="0"/>
  </r>
  <r>
    <n v="111"/>
    <s v="Female"/>
    <n v="69.5"/>
    <s v="Central"/>
    <n v="70"/>
    <s v="Central"/>
    <x v="1"/>
    <n v="72"/>
    <s v="Sci&amp;Tech"/>
    <x v="0"/>
    <n v="57.2"/>
    <x v="0"/>
    <n v="54.8"/>
    <s v="Pass"/>
    <x v="0"/>
    <x v="0"/>
    <n v="250000"/>
  </r>
  <r>
    <n v="112"/>
    <s v="Male"/>
    <n v="51"/>
    <s v="Others"/>
    <n v="54"/>
    <s v="Others"/>
    <x v="1"/>
    <n v="61"/>
    <s v="Sci&amp;Tech"/>
    <x v="0"/>
    <n v="60"/>
    <x v="0"/>
    <n v="60.64"/>
    <s v="First Call"/>
    <x v="1"/>
    <x v="1"/>
    <n v="0"/>
  </r>
  <r>
    <n v="113"/>
    <s v="Male"/>
    <n v="58"/>
    <s v="Others"/>
    <n v="61"/>
    <s v="Others"/>
    <x v="0"/>
    <n v="61"/>
    <s v="Comm&amp;Mgmt"/>
    <x v="0"/>
    <n v="58"/>
    <x v="0"/>
    <n v="53.94"/>
    <s v="Pass"/>
    <x v="0"/>
    <x v="0"/>
    <n v="250000"/>
  </r>
  <r>
    <n v="114"/>
    <s v="Female"/>
    <n v="73.959999999999994"/>
    <s v="Others"/>
    <n v="79"/>
    <s v="Others"/>
    <x v="0"/>
    <n v="67"/>
    <s v="Comm&amp;Mgmt"/>
    <x v="0"/>
    <n v="72.150000000000006"/>
    <x v="1"/>
    <n v="63.08"/>
    <s v="First Call"/>
    <x v="0"/>
    <x v="0"/>
    <n v="280000"/>
  </r>
  <r>
    <n v="115"/>
    <s v="Male"/>
    <n v="65"/>
    <s v="Central"/>
    <n v="68"/>
    <s v="Others"/>
    <x v="1"/>
    <n v="69"/>
    <s v="Comm&amp;Mgmt"/>
    <x v="0"/>
    <n v="53.7"/>
    <x v="0"/>
    <n v="55.01"/>
    <s v="Pass"/>
    <x v="0"/>
    <x v="0"/>
    <n v="250000"/>
  </r>
  <r>
    <n v="116"/>
    <s v="Female"/>
    <n v="73"/>
    <s v="Others"/>
    <n v="63"/>
    <s v="Others"/>
    <x v="1"/>
    <n v="66"/>
    <s v="Comm&amp;Mgmt"/>
    <x v="0"/>
    <n v="89"/>
    <x v="1"/>
    <n v="60.5"/>
    <s v="First Call"/>
    <x v="0"/>
    <x v="0"/>
    <n v="216000"/>
  </r>
  <r>
    <n v="117"/>
    <s v="Male"/>
    <n v="68.2"/>
    <s v="Central"/>
    <n v="72.8"/>
    <s v="Central"/>
    <x v="0"/>
    <n v="66.599999999999994"/>
    <s v="Comm&amp;Mgmt"/>
    <x v="1"/>
    <n v="96"/>
    <x v="1"/>
    <n v="70.849999999999994"/>
    <s v="First Call"/>
    <x v="0"/>
    <x v="0"/>
    <n v="300000"/>
  </r>
  <r>
    <n v="118"/>
    <s v="Male"/>
    <n v="77"/>
    <s v="Others"/>
    <n v="75"/>
    <s v="Others"/>
    <x v="1"/>
    <n v="73"/>
    <s v="Sci&amp;Tech"/>
    <x v="0"/>
    <n v="80"/>
    <x v="1"/>
    <n v="67.05"/>
    <s v="First Call"/>
    <x v="0"/>
    <x v="0"/>
    <n v="240000"/>
  </r>
  <r>
    <n v="119"/>
    <s v="Male"/>
    <n v="76"/>
    <s v="Central"/>
    <n v="80"/>
    <s v="Central"/>
    <x v="1"/>
    <n v="78"/>
    <s v="Sci&amp;Tech"/>
    <x v="1"/>
    <n v="97"/>
    <x v="0"/>
    <n v="70.48"/>
    <s v="First Call"/>
    <x v="0"/>
    <x v="0"/>
    <n v="276000"/>
  </r>
  <r>
    <n v="120"/>
    <s v="Male"/>
    <n v="60.8"/>
    <s v="Central"/>
    <n v="68.400000000000006"/>
    <s v="Central"/>
    <x v="0"/>
    <n v="64.599999999999994"/>
    <s v="Comm&amp;Mgmt"/>
    <x v="1"/>
    <n v="82.66"/>
    <x v="1"/>
    <n v="64.34"/>
    <s v="First Call"/>
    <x v="0"/>
    <x v="0"/>
    <n v="940000"/>
  </r>
  <r>
    <n v="121"/>
    <s v="Male"/>
    <n v="58"/>
    <s v="Others"/>
    <n v="40"/>
    <s v="Others"/>
    <x v="1"/>
    <n v="59"/>
    <s v="Comm&amp;Mgmt"/>
    <x v="0"/>
    <n v="73"/>
    <x v="0"/>
    <n v="58.81"/>
    <s v="Pass"/>
    <x v="1"/>
    <x v="1"/>
    <n v="0"/>
  </r>
  <r>
    <n v="122"/>
    <s v="Female"/>
    <n v="64"/>
    <s v="Central"/>
    <n v="67"/>
    <s v="Others"/>
    <x v="1"/>
    <n v="69.599999999999994"/>
    <s v="Sci&amp;Tech"/>
    <x v="1"/>
    <n v="55.67"/>
    <x v="0"/>
    <n v="71.489999999999995"/>
    <s v="First Call"/>
    <x v="0"/>
    <x v="0"/>
    <n v="250000"/>
  </r>
  <r>
    <n v="123"/>
    <s v="Female"/>
    <n v="66.5"/>
    <s v="Central"/>
    <n v="66.8"/>
    <s v="Central"/>
    <x v="2"/>
    <n v="69.3"/>
    <s v="Comm&amp;Mgmt"/>
    <x v="1"/>
    <n v="80.400000000000006"/>
    <x v="1"/>
    <n v="71"/>
    <s v="First Call"/>
    <x v="0"/>
    <x v="0"/>
    <n v="236000"/>
  </r>
  <r>
    <n v="124"/>
    <s v="Male"/>
    <n v="74"/>
    <s v="Others"/>
    <n v="59"/>
    <s v="Others"/>
    <x v="0"/>
    <n v="73"/>
    <s v="Comm&amp;Mgmt"/>
    <x v="1"/>
    <n v="60"/>
    <x v="0"/>
    <n v="56.7"/>
    <s v="Pass"/>
    <x v="0"/>
    <x v="0"/>
    <n v="240000"/>
  </r>
  <r>
    <n v="125"/>
    <s v="Male"/>
    <n v="67"/>
    <s v="Central"/>
    <n v="71"/>
    <s v="Central"/>
    <x v="1"/>
    <n v="64.33"/>
    <s v="Others"/>
    <x v="1"/>
    <n v="64"/>
    <x v="0"/>
    <n v="61.26"/>
    <s v="First Call"/>
    <x v="0"/>
    <x v="0"/>
    <n v="250000"/>
  </r>
  <r>
    <n v="126"/>
    <s v="Female"/>
    <n v="84"/>
    <s v="Central"/>
    <n v="73"/>
    <s v="Central"/>
    <x v="0"/>
    <n v="73"/>
    <s v="Comm&amp;Mgmt"/>
    <x v="0"/>
    <n v="75"/>
    <x v="1"/>
    <n v="73.33"/>
    <s v="First Call"/>
    <x v="0"/>
    <x v="0"/>
    <n v="350000"/>
  </r>
  <r>
    <n v="127"/>
    <s v="Female"/>
    <n v="79"/>
    <s v="Others"/>
    <n v="61"/>
    <s v="Others"/>
    <x v="1"/>
    <n v="75.5"/>
    <s v="Sci&amp;Tech"/>
    <x v="1"/>
    <n v="70"/>
    <x v="1"/>
    <n v="68.2"/>
    <s v="First Call"/>
    <x v="0"/>
    <x v="0"/>
    <n v="210000"/>
  </r>
  <r>
    <n v="128"/>
    <s v="Female"/>
    <n v="72"/>
    <s v="Others"/>
    <n v="60"/>
    <s v="Others"/>
    <x v="1"/>
    <n v="69"/>
    <s v="Comm&amp;Mgmt"/>
    <x v="0"/>
    <n v="55.5"/>
    <x v="0"/>
    <n v="58.4"/>
    <s v="Pass"/>
    <x v="0"/>
    <x v="0"/>
    <n v="250000"/>
  </r>
  <r>
    <n v="129"/>
    <s v="Male"/>
    <n v="80.400000000000006"/>
    <s v="Central"/>
    <n v="73.400000000000006"/>
    <s v="Central"/>
    <x v="1"/>
    <n v="77.72"/>
    <s v="Sci&amp;Tech"/>
    <x v="1"/>
    <n v="81.2"/>
    <x v="0"/>
    <n v="76.260000000000005"/>
    <s v="Distinction"/>
    <x v="0"/>
    <x v="0"/>
    <n v="400000"/>
  </r>
  <r>
    <n v="130"/>
    <s v="Male"/>
    <n v="76.7"/>
    <s v="Central"/>
    <n v="89.7"/>
    <s v="Others"/>
    <x v="0"/>
    <n v="66"/>
    <s v="Comm&amp;Mgmt"/>
    <x v="1"/>
    <n v="90"/>
    <x v="1"/>
    <n v="68.55"/>
    <s v="First Call"/>
    <x v="0"/>
    <x v="0"/>
    <n v="250000"/>
  </r>
  <r>
    <n v="131"/>
    <s v="Male"/>
    <n v="62"/>
    <s v="Central"/>
    <n v="65"/>
    <s v="Others"/>
    <x v="0"/>
    <n v="60"/>
    <s v="Comm&amp;Mgmt"/>
    <x v="0"/>
    <n v="84"/>
    <x v="1"/>
    <n v="64.150000000000006"/>
    <s v="First Call"/>
    <x v="1"/>
    <x v="1"/>
    <n v="0"/>
  </r>
  <r>
    <n v="132"/>
    <s v="Female"/>
    <n v="74.900000000000006"/>
    <s v="Others"/>
    <n v="57"/>
    <s v="Others"/>
    <x v="1"/>
    <n v="62"/>
    <s v="Others"/>
    <x v="1"/>
    <n v="80"/>
    <x v="1"/>
    <n v="60.78"/>
    <s v="First Call"/>
    <x v="0"/>
    <x v="0"/>
    <n v="360000"/>
  </r>
  <r>
    <n v="133"/>
    <s v="Male"/>
    <n v="67"/>
    <s v="Others"/>
    <n v="68"/>
    <s v="Others"/>
    <x v="0"/>
    <n v="64"/>
    <s v="Comm&amp;Mgmt"/>
    <x v="1"/>
    <n v="74.400000000000006"/>
    <x v="0"/>
    <n v="53.49"/>
    <s v="Pass"/>
    <x v="0"/>
    <x v="0"/>
    <n v="300000"/>
  </r>
  <r>
    <n v="134"/>
    <s v="Male"/>
    <n v="73"/>
    <s v="Central"/>
    <n v="64"/>
    <s v="Others"/>
    <x v="0"/>
    <n v="77"/>
    <s v="Comm&amp;Mgmt"/>
    <x v="1"/>
    <n v="65"/>
    <x v="0"/>
    <n v="60.98"/>
    <s v="First Call"/>
    <x v="0"/>
    <x v="0"/>
    <n v="250000"/>
  </r>
  <r>
    <n v="135"/>
    <s v="Female"/>
    <n v="77.44"/>
    <s v="Central"/>
    <n v="92"/>
    <s v="Others"/>
    <x v="0"/>
    <n v="72"/>
    <s v="Comm&amp;Mgmt"/>
    <x v="1"/>
    <n v="94"/>
    <x v="1"/>
    <n v="67.13"/>
    <s v="First Call"/>
    <x v="0"/>
    <x v="0"/>
    <n v="250000"/>
  </r>
  <r>
    <n v="136"/>
    <s v="Female"/>
    <n v="72"/>
    <s v="Central"/>
    <n v="56"/>
    <s v="Others"/>
    <x v="1"/>
    <n v="69"/>
    <s v="Comm&amp;Mgmt"/>
    <x v="0"/>
    <n v="55.6"/>
    <x v="0"/>
    <n v="65.63"/>
    <s v="First Call"/>
    <x v="0"/>
    <x v="0"/>
    <n v="200000"/>
  </r>
  <r>
    <n v="137"/>
    <s v="Female"/>
    <n v="47"/>
    <s v="Central"/>
    <n v="59"/>
    <s v="Central"/>
    <x v="2"/>
    <n v="64"/>
    <s v="Comm&amp;Mgmt"/>
    <x v="0"/>
    <n v="78"/>
    <x v="1"/>
    <n v="61.58"/>
    <s v="First Call"/>
    <x v="1"/>
    <x v="1"/>
    <n v="0"/>
  </r>
  <r>
    <n v="138"/>
    <s v="Male"/>
    <n v="67"/>
    <s v="Others"/>
    <n v="63"/>
    <s v="Central"/>
    <x v="0"/>
    <n v="72"/>
    <s v="Comm&amp;Mgmt"/>
    <x v="0"/>
    <n v="56"/>
    <x v="0"/>
    <n v="60.41"/>
    <s v="First Call"/>
    <x v="0"/>
    <x v="0"/>
    <n v="225000"/>
  </r>
  <r>
    <n v="139"/>
    <s v="Female"/>
    <n v="82"/>
    <s v="Others"/>
    <n v="64"/>
    <s v="Others"/>
    <x v="1"/>
    <n v="73"/>
    <s v="Sci&amp;Tech"/>
    <x v="1"/>
    <n v="96"/>
    <x v="1"/>
    <n v="71.77"/>
    <s v="First Call"/>
    <x v="0"/>
    <x v="0"/>
    <n v="250000"/>
  </r>
  <r>
    <n v="140"/>
    <s v="Male"/>
    <n v="77"/>
    <s v="Central"/>
    <n v="70"/>
    <s v="Central"/>
    <x v="0"/>
    <n v="59"/>
    <s v="Comm&amp;Mgmt"/>
    <x v="1"/>
    <n v="58"/>
    <x v="1"/>
    <n v="54.43"/>
    <s v="Pass"/>
    <x v="0"/>
    <x v="0"/>
    <n v="220000"/>
  </r>
  <r>
    <n v="141"/>
    <s v="Male"/>
    <n v="65"/>
    <s v="Central"/>
    <n v="64.8"/>
    <s v="Others"/>
    <x v="0"/>
    <n v="69.5"/>
    <s v="Comm&amp;Mgmt"/>
    <x v="1"/>
    <n v="56"/>
    <x v="1"/>
    <n v="56.94"/>
    <s v="Pass"/>
    <x v="0"/>
    <x v="0"/>
    <n v="265000"/>
  </r>
  <r>
    <n v="142"/>
    <s v="Male"/>
    <n v="66"/>
    <s v="Central"/>
    <n v="64"/>
    <s v="Central"/>
    <x v="1"/>
    <n v="60"/>
    <s v="Comm&amp;Mgmt"/>
    <x v="0"/>
    <n v="60"/>
    <x v="0"/>
    <n v="61.9"/>
    <s v="First Call"/>
    <x v="1"/>
    <x v="1"/>
    <n v="0"/>
  </r>
  <r>
    <n v="143"/>
    <s v="Male"/>
    <n v="85"/>
    <s v="Central"/>
    <n v="60"/>
    <s v="Others"/>
    <x v="1"/>
    <n v="73.430000000000007"/>
    <s v="Sci&amp;Tech"/>
    <x v="1"/>
    <n v="60"/>
    <x v="1"/>
    <n v="61.29"/>
    <s v="First Call"/>
    <x v="0"/>
    <x v="0"/>
    <n v="260000"/>
  </r>
  <r>
    <n v="144"/>
    <s v="Male"/>
    <n v="77.67"/>
    <s v="Others"/>
    <n v="64.89"/>
    <s v="Others"/>
    <x v="0"/>
    <n v="70.67"/>
    <s v="Comm&amp;Mgmt"/>
    <x v="0"/>
    <n v="89"/>
    <x v="1"/>
    <n v="60.39"/>
    <s v="First Call"/>
    <x v="0"/>
    <x v="0"/>
    <n v="300000"/>
  </r>
  <r>
    <n v="145"/>
    <s v="Male"/>
    <n v="52"/>
    <s v="Others"/>
    <n v="50"/>
    <s v="Others"/>
    <x v="2"/>
    <n v="61"/>
    <s v="Comm&amp;Mgmt"/>
    <x v="0"/>
    <n v="60"/>
    <x v="1"/>
    <n v="58.52"/>
    <s v="Pass"/>
    <x v="1"/>
    <x v="1"/>
    <n v="0"/>
  </r>
  <r>
    <n v="146"/>
    <s v="Male"/>
    <n v="89.4"/>
    <s v="Others"/>
    <n v="65.66"/>
    <s v="Others"/>
    <x v="1"/>
    <n v="71.25"/>
    <s v="Sci&amp;Tech"/>
    <x v="0"/>
    <n v="72"/>
    <x v="0"/>
    <n v="63.23"/>
    <s v="First Call"/>
    <x v="0"/>
    <x v="0"/>
    <n v="400000"/>
  </r>
  <r>
    <n v="147"/>
    <s v="Male"/>
    <n v="62"/>
    <s v="Central"/>
    <n v="63"/>
    <s v="Others"/>
    <x v="1"/>
    <n v="66"/>
    <s v="Comm&amp;Mgmt"/>
    <x v="0"/>
    <n v="85"/>
    <x v="0"/>
    <n v="55.14"/>
    <s v="Pass"/>
    <x v="0"/>
    <x v="0"/>
    <n v="233000"/>
  </r>
  <r>
    <n v="148"/>
    <s v="Male"/>
    <n v="70"/>
    <s v="Central"/>
    <n v="74"/>
    <s v="Central"/>
    <x v="0"/>
    <n v="65"/>
    <s v="Comm&amp;Mgmt"/>
    <x v="0"/>
    <n v="83"/>
    <x v="1"/>
    <n v="62.28"/>
    <s v="First Call"/>
    <x v="0"/>
    <x v="0"/>
    <n v="300000"/>
  </r>
  <r>
    <n v="149"/>
    <s v="Female"/>
    <n v="77"/>
    <s v="Central"/>
    <n v="86"/>
    <s v="Central"/>
    <x v="2"/>
    <n v="56"/>
    <s v="Others"/>
    <x v="0"/>
    <n v="57"/>
    <x v="1"/>
    <n v="64.08"/>
    <s v="First Call"/>
    <x v="0"/>
    <x v="0"/>
    <n v="240000"/>
  </r>
  <r>
    <n v="150"/>
    <s v="Male"/>
    <n v="44"/>
    <s v="Central"/>
    <n v="58"/>
    <s v="Central"/>
    <x v="2"/>
    <n v="55"/>
    <s v="Comm&amp;Mgmt"/>
    <x v="1"/>
    <n v="64.25"/>
    <x v="0"/>
    <n v="58.54"/>
    <s v="Pass"/>
    <x v="1"/>
    <x v="1"/>
    <n v="0"/>
  </r>
  <r>
    <n v="151"/>
    <s v="Male"/>
    <n v="71"/>
    <s v="Central"/>
    <n v="58.66"/>
    <s v="Central"/>
    <x v="1"/>
    <n v="58"/>
    <s v="Sci&amp;Tech"/>
    <x v="1"/>
    <n v="56"/>
    <x v="1"/>
    <n v="61.3"/>
    <s v="First Call"/>
    <x v="0"/>
    <x v="0"/>
    <n v="690000"/>
  </r>
  <r>
    <n v="152"/>
    <s v="Male"/>
    <n v="65"/>
    <s v="Central"/>
    <n v="65"/>
    <s v="Central"/>
    <x v="0"/>
    <n v="75"/>
    <s v="Comm&amp;Mgmt"/>
    <x v="0"/>
    <n v="83"/>
    <x v="1"/>
    <n v="58.87"/>
    <s v="Pass"/>
    <x v="0"/>
    <x v="0"/>
    <n v="270000"/>
  </r>
  <r>
    <n v="153"/>
    <s v="Female"/>
    <n v="75.400000000000006"/>
    <s v="Others"/>
    <n v="60.5"/>
    <s v="Central"/>
    <x v="1"/>
    <n v="84"/>
    <s v="Sci&amp;Tech"/>
    <x v="0"/>
    <n v="98"/>
    <x v="1"/>
    <n v="65.25"/>
    <s v="First Call"/>
    <x v="0"/>
    <x v="0"/>
    <n v="240000"/>
  </r>
  <r>
    <n v="154"/>
    <s v="Male"/>
    <n v="49"/>
    <s v="Others"/>
    <n v="59"/>
    <s v="Others"/>
    <x v="1"/>
    <n v="65"/>
    <s v="Sci&amp;Tech"/>
    <x v="1"/>
    <n v="86"/>
    <x v="1"/>
    <n v="62.48"/>
    <s v="First Call"/>
    <x v="0"/>
    <x v="0"/>
    <n v="340000"/>
  </r>
  <r>
    <n v="155"/>
    <s v="Male"/>
    <n v="53"/>
    <s v="Central"/>
    <n v="63"/>
    <s v="Others"/>
    <x v="1"/>
    <n v="60"/>
    <s v="Comm&amp;Mgmt"/>
    <x v="1"/>
    <n v="70"/>
    <x v="1"/>
    <n v="53.2"/>
    <s v="Pass"/>
    <x v="0"/>
    <x v="0"/>
    <n v="250000"/>
  </r>
  <r>
    <n v="156"/>
    <s v="Male"/>
    <n v="51.57"/>
    <s v="Others"/>
    <n v="74.66"/>
    <s v="Others"/>
    <x v="0"/>
    <n v="59.9"/>
    <s v="Comm&amp;Mgmt"/>
    <x v="1"/>
    <n v="56.15"/>
    <x v="0"/>
    <n v="65.989999999999995"/>
    <s v="First Call"/>
    <x v="1"/>
    <x v="1"/>
    <n v="0"/>
  </r>
  <r>
    <n v="157"/>
    <s v="Male"/>
    <n v="84.2"/>
    <s v="Central"/>
    <n v="69.400000000000006"/>
    <s v="Central"/>
    <x v="1"/>
    <n v="65"/>
    <s v="Sci&amp;Tech"/>
    <x v="1"/>
    <n v="80"/>
    <x v="0"/>
    <n v="52.72"/>
    <s v="Pass"/>
    <x v="0"/>
    <x v="0"/>
    <n v="255000"/>
  </r>
  <r>
    <n v="158"/>
    <s v="Male"/>
    <n v="66.5"/>
    <s v="Central"/>
    <n v="62.5"/>
    <s v="Central"/>
    <x v="0"/>
    <n v="60.9"/>
    <s v="Comm&amp;Mgmt"/>
    <x v="0"/>
    <n v="93.4"/>
    <x v="1"/>
    <n v="55.03"/>
    <s v="Pass"/>
    <x v="0"/>
    <x v="0"/>
    <n v="300000"/>
  </r>
  <r>
    <n v="159"/>
    <s v="Male"/>
    <n v="67"/>
    <s v="Others"/>
    <n v="63"/>
    <s v="Others"/>
    <x v="1"/>
    <n v="64"/>
    <s v="Sci&amp;Tech"/>
    <x v="0"/>
    <n v="60"/>
    <x v="1"/>
    <n v="61.87"/>
    <s v="First Call"/>
    <x v="1"/>
    <x v="1"/>
    <n v="0"/>
  </r>
  <r>
    <n v="160"/>
    <s v="Male"/>
    <n v="52"/>
    <s v="Central"/>
    <n v="49"/>
    <s v="Others"/>
    <x v="0"/>
    <n v="58"/>
    <s v="Comm&amp;Mgmt"/>
    <x v="0"/>
    <n v="62"/>
    <x v="0"/>
    <n v="60.59"/>
    <s v="First Call"/>
    <x v="1"/>
    <x v="1"/>
    <n v="0"/>
  </r>
  <r>
    <n v="161"/>
    <s v="Male"/>
    <n v="87"/>
    <s v="Central"/>
    <n v="74"/>
    <s v="Central"/>
    <x v="1"/>
    <n v="65"/>
    <s v="Sci&amp;Tech"/>
    <x v="1"/>
    <n v="75"/>
    <x v="0"/>
    <n v="72.290000000000006"/>
    <s v="First Call"/>
    <x v="0"/>
    <x v="0"/>
    <n v="300000"/>
  </r>
  <r>
    <n v="162"/>
    <s v="Male"/>
    <n v="55.6"/>
    <s v="Others"/>
    <n v="51"/>
    <s v="Others"/>
    <x v="0"/>
    <n v="57.5"/>
    <s v="Comm&amp;Mgmt"/>
    <x v="0"/>
    <n v="57.63"/>
    <x v="0"/>
    <n v="62.72"/>
    <s v="First Call"/>
    <x v="1"/>
    <x v="1"/>
    <n v="0"/>
  </r>
  <r>
    <n v="163"/>
    <s v="Male"/>
    <n v="74.2"/>
    <s v="Central"/>
    <n v="87.6"/>
    <s v="Others"/>
    <x v="0"/>
    <n v="77.25"/>
    <s v="Comm&amp;Mgmt"/>
    <x v="1"/>
    <n v="75.2"/>
    <x v="1"/>
    <n v="66.06"/>
    <s v="First Call"/>
    <x v="0"/>
    <x v="0"/>
    <n v="285000"/>
  </r>
  <r>
    <n v="164"/>
    <s v="Male"/>
    <n v="63"/>
    <s v="Others"/>
    <n v="67"/>
    <s v="Others"/>
    <x v="1"/>
    <n v="64"/>
    <s v="Sci&amp;Tech"/>
    <x v="0"/>
    <n v="75"/>
    <x v="1"/>
    <n v="66.459999999999994"/>
    <s v="First Call"/>
    <x v="0"/>
    <x v="0"/>
    <n v="500000"/>
  </r>
  <r>
    <n v="165"/>
    <s v="Female"/>
    <n v="67.16"/>
    <s v="Central"/>
    <n v="72.5"/>
    <s v="Central"/>
    <x v="0"/>
    <n v="63.35"/>
    <s v="Comm&amp;Mgmt"/>
    <x v="0"/>
    <n v="53.04"/>
    <x v="1"/>
    <n v="65.52"/>
    <s v="First Call"/>
    <x v="0"/>
    <x v="0"/>
    <n v="250000"/>
  </r>
  <r>
    <n v="166"/>
    <s v="Female"/>
    <n v="63.3"/>
    <s v="Central"/>
    <n v="78.33"/>
    <s v="Others"/>
    <x v="0"/>
    <n v="74"/>
    <s v="Comm&amp;Mgmt"/>
    <x v="0"/>
    <n v="80"/>
    <x v="1"/>
    <n v="74.56"/>
    <s v="First Call"/>
    <x v="1"/>
    <x v="1"/>
    <n v="0"/>
  </r>
  <r>
    <n v="167"/>
    <s v="Male"/>
    <n v="62"/>
    <s v="Others"/>
    <n v="62"/>
    <s v="Others"/>
    <x v="0"/>
    <n v="60"/>
    <s v="Comm&amp;Mgmt"/>
    <x v="1"/>
    <n v="63"/>
    <x v="0"/>
    <n v="52.38"/>
    <s v="Pass"/>
    <x v="0"/>
    <x v="0"/>
    <n v="240000"/>
  </r>
  <r>
    <n v="168"/>
    <s v="Male"/>
    <n v="67.900000000000006"/>
    <s v="Others"/>
    <n v="62"/>
    <s v="Others"/>
    <x v="1"/>
    <n v="67"/>
    <s v="Sci&amp;Tech"/>
    <x v="1"/>
    <n v="58.1"/>
    <x v="1"/>
    <n v="75.709999999999994"/>
    <s v="Distinction"/>
    <x v="1"/>
    <x v="1"/>
    <n v="0"/>
  </r>
  <r>
    <n v="169"/>
    <s v="Female"/>
    <n v="48"/>
    <s v="Central"/>
    <n v="51"/>
    <s v="Central"/>
    <x v="0"/>
    <n v="58"/>
    <s v="Comm&amp;Mgmt"/>
    <x v="1"/>
    <n v="60"/>
    <x v="0"/>
    <n v="58.79"/>
    <s v="Pass"/>
    <x v="1"/>
    <x v="1"/>
    <n v="0"/>
  </r>
  <r>
    <n v="170"/>
    <s v="Male"/>
    <n v="59.96"/>
    <s v="Others"/>
    <n v="42.16"/>
    <s v="Others"/>
    <x v="1"/>
    <n v="61.26"/>
    <s v="Sci&amp;Tech"/>
    <x v="0"/>
    <n v="54.48"/>
    <x v="0"/>
    <n v="65.48"/>
    <s v="First Call"/>
    <x v="1"/>
    <x v="1"/>
    <n v="0"/>
  </r>
  <r>
    <n v="171"/>
    <s v="Female"/>
    <n v="63.4"/>
    <s v="Others"/>
    <n v="67.2"/>
    <s v="Others"/>
    <x v="0"/>
    <n v="60"/>
    <s v="Comm&amp;Mgmt"/>
    <x v="0"/>
    <n v="58.06"/>
    <x v="0"/>
    <n v="69.28"/>
    <s v="First Call"/>
    <x v="1"/>
    <x v="1"/>
    <n v="0"/>
  </r>
  <r>
    <n v="172"/>
    <s v="Male"/>
    <n v="80"/>
    <s v="Others"/>
    <n v="80"/>
    <s v="Others"/>
    <x v="0"/>
    <n v="72"/>
    <s v="Comm&amp;Mgmt"/>
    <x v="1"/>
    <n v="63.79"/>
    <x v="1"/>
    <n v="66.040000000000006"/>
    <s v="First Call"/>
    <x v="0"/>
    <x v="0"/>
    <n v="290000"/>
  </r>
  <r>
    <n v="173"/>
    <s v="Male"/>
    <n v="73"/>
    <s v="Others"/>
    <n v="58"/>
    <s v="Others"/>
    <x v="0"/>
    <n v="56"/>
    <s v="Comm&amp;Mgmt"/>
    <x v="0"/>
    <n v="84"/>
    <x v="0"/>
    <n v="52.64"/>
    <s v="Pass"/>
    <x v="0"/>
    <x v="0"/>
    <n v="300000"/>
  </r>
  <r>
    <n v="174"/>
    <s v="Female"/>
    <n v="52"/>
    <s v="Others"/>
    <n v="52"/>
    <s v="Others"/>
    <x v="1"/>
    <n v="55"/>
    <s v="Sci&amp;Tech"/>
    <x v="0"/>
    <n v="67"/>
    <x v="0"/>
    <n v="59.32"/>
    <s v="Pass"/>
    <x v="1"/>
    <x v="1"/>
    <n v="0"/>
  </r>
  <r>
    <n v="175"/>
    <s v="Male"/>
    <n v="73.239999999999995"/>
    <s v="Others"/>
    <n v="50.83"/>
    <s v="Others"/>
    <x v="1"/>
    <n v="64.27"/>
    <s v="Sci&amp;Tech"/>
    <x v="1"/>
    <n v="64"/>
    <x v="1"/>
    <n v="66.23"/>
    <s v="First Call"/>
    <x v="0"/>
    <x v="0"/>
    <n v="500000"/>
  </r>
  <r>
    <n v="176"/>
    <s v="Male"/>
    <n v="63"/>
    <s v="Others"/>
    <n v="62"/>
    <s v="Others"/>
    <x v="1"/>
    <n v="65"/>
    <s v="Sci&amp;Tech"/>
    <x v="0"/>
    <n v="87.5"/>
    <x v="0"/>
    <n v="60.69"/>
    <s v="First Call"/>
    <x v="1"/>
    <x v="1"/>
    <n v="0"/>
  </r>
  <r>
    <n v="177"/>
    <s v="Female"/>
    <n v="59"/>
    <s v="Central"/>
    <n v="60"/>
    <s v="Others"/>
    <x v="0"/>
    <n v="56"/>
    <s v="Comm&amp;Mgmt"/>
    <x v="0"/>
    <n v="55"/>
    <x v="0"/>
    <n v="57.9"/>
    <s v="Pass"/>
    <x v="0"/>
    <x v="0"/>
    <n v="220000"/>
  </r>
  <r>
    <n v="178"/>
    <s v="Female"/>
    <n v="73"/>
    <s v="Central"/>
    <n v="97"/>
    <s v="Others"/>
    <x v="0"/>
    <n v="79"/>
    <s v="Comm&amp;Mgmt"/>
    <x v="1"/>
    <n v="89"/>
    <x v="1"/>
    <n v="70.81"/>
    <s v="First Call"/>
    <x v="0"/>
    <x v="0"/>
    <n v="650000"/>
  </r>
  <r>
    <n v="179"/>
    <s v="Male"/>
    <n v="68"/>
    <s v="Others"/>
    <n v="56"/>
    <s v="Others"/>
    <x v="1"/>
    <n v="68"/>
    <s v="Sci&amp;Tech"/>
    <x v="0"/>
    <n v="73"/>
    <x v="0"/>
    <n v="68.069999999999993"/>
    <s v="First Call"/>
    <x v="0"/>
    <x v="0"/>
    <n v="350000"/>
  </r>
  <r>
    <n v="180"/>
    <s v="Female"/>
    <n v="77.8"/>
    <s v="Central"/>
    <n v="64"/>
    <s v="Central"/>
    <x v="1"/>
    <n v="64.2"/>
    <s v="Sci&amp;Tech"/>
    <x v="0"/>
    <n v="75.5"/>
    <x v="0"/>
    <n v="72.14"/>
    <s v="First Call"/>
    <x v="1"/>
    <x v="1"/>
    <n v="0"/>
  </r>
  <r>
    <n v="181"/>
    <s v="Male"/>
    <n v="65"/>
    <s v="Central"/>
    <n v="71.5"/>
    <s v="Others"/>
    <x v="0"/>
    <n v="62.8"/>
    <s v="Comm&amp;Mgmt"/>
    <x v="1"/>
    <n v="57"/>
    <x v="1"/>
    <n v="56.6"/>
    <s v="Pass"/>
    <x v="0"/>
    <x v="0"/>
    <n v="265000"/>
  </r>
  <r>
    <n v="182"/>
    <s v="Male"/>
    <n v="62"/>
    <s v="Central"/>
    <n v="60.33"/>
    <s v="Others"/>
    <x v="1"/>
    <n v="64.209999999999994"/>
    <s v="Sci&amp;Tech"/>
    <x v="0"/>
    <n v="63"/>
    <x v="0"/>
    <n v="60.02"/>
    <s v="First Call"/>
    <x v="1"/>
    <x v="1"/>
    <n v="0"/>
  </r>
  <r>
    <n v="183"/>
    <s v="Male"/>
    <n v="52"/>
    <s v="Others"/>
    <n v="65"/>
    <s v="Others"/>
    <x v="2"/>
    <n v="57"/>
    <s v="Others"/>
    <x v="1"/>
    <n v="75"/>
    <x v="1"/>
    <n v="59.81"/>
    <s v="Pass"/>
    <x v="1"/>
    <x v="1"/>
    <n v="0"/>
  </r>
  <r>
    <n v="184"/>
    <s v="Male"/>
    <n v="65"/>
    <s v="Central"/>
    <n v="77"/>
    <s v="Central"/>
    <x v="0"/>
    <n v="69"/>
    <s v="Comm&amp;Mgmt"/>
    <x v="0"/>
    <n v="60"/>
    <x v="0"/>
    <n v="61.82"/>
    <s v="First Call"/>
    <x v="0"/>
    <x v="0"/>
    <n v="276000"/>
  </r>
  <r>
    <n v="185"/>
    <s v="Female"/>
    <n v="56.28"/>
    <s v="Others"/>
    <n v="62.83"/>
    <s v="Others"/>
    <x v="0"/>
    <n v="59.79"/>
    <s v="Comm&amp;Mgmt"/>
    <x v="0"/>
    <n v="60"/>
    <x v="0"/>
    <n v="57.29"/>
    <s v="Pass"/>
    <x v="1"/>
    <x v="1"/>
    <n v="0"/>
  </r>
  <r>
    <n v="186"/>
    <s v="Female"/>
    <n v="88"/>
    <s v="Central"/>
    <n v="72"/>
    <s v="Central"/>
    <x v="1"/>
    <n v="78"/>
    <s v="Others"/>
    <x v="0"/>
    <n v="82"/>
    <x v="0"/>
    <n v="71.430000000000007"/>
    <s v="First Call"/>
    <x v="0"/>
    <x v="0"/>
    <n v="252000"/>
  </r>
  <r>
    <n v="187"/>
    <s v="Female"/>
    <n v="52"/>
    <s v="Central"/>
    <n v="64"/>
    <s v="Central"/>
    <x v="0"/>
    <n v="61"/>
    <s v="Comm&amp;Mgmt"/>
    <x v="0"/>
    <n v="55"/>
    <x v="1"/>
    <n v="62.93"/>
    <s v="First Call"/>
    <x v="1"/>
    <x v="1"/>
    <n v="0"/>
  </r>
  <r>
    <n v="188"/>
    <s v="Male"/>
    <n v="78.5"/>
    <s v="Central"/>
    <n v="65.5"/>
    <s v="Central"/>
    <x v="1"/>
    <n v="67"/>
    <s v="Sci&amp;Tech"/>
    <x v="1"/>
    <n v="95"/>
    <x v="1"/>
    <n v="64.86"/>
    <s v="First Call"/>
    <x v="0"/>
    <x v="0"/>
    <n v="280000"/>
  </r>
  <r>
    <n v="189"/>
    <s v="Male"/>
    <n v="61.8"/>
    <s v="Others"/>
    <n v="47"/>
    <s v="Others"/>
    <x v="0"/>
    <n v="54.38"/>
    <s v="Comm&amp;Mgmt"/>
    <x v="0"/>
    <n v="57"/>
    <x v="1"/>
    <n v="56.13"/>
    <s v="Pass"/>
    <x v="1"/>
    <x v="1"/>
    <n v="0"/>
  </r>
  <r>
    <n v="190"/>
    <s v="Female"/>
    <n v="54"/>
    <s v="Central"/>
    <n v="77.599999999999994"/>
    <s v="Others"/>
    <x v="0"/>
    <n v="69.2"/>
    <s v="Comm&amp;Mgmt"/>
    <x v="0"/>
    <n v="95.65"/>
    <x v="1"/>
    <n v="66.94"/>
    <s v="First Call"/>
    <x v="1"/>
    <x v="1"/>
    <n v="0"/>
  </r>
  <r>
    <n v="191"/>
    <s v="Female"/>
    <n v="64"/>
    <s v="Others"/>
    <n v="70.2"/>
    <s v="Central"/>
    <x v="0"/>
    <n v="61"/>
    <s v="Comm&amp;Mgmt"/>
    <x v="0"/>
    <n v="50"/>
    <x v="1"/>
    <n v="62.5"/>
    <s v="First Call"/>
    <x v="1"/>
    <x v="1"/>
    <n v="0"/>
  </r>
  <r>
    <n v="192"/>
    <s v="Male"/>
    <n v="67"/>
    <s v="Others"/>
    <n v="61"/>
    <s v="Central"/>
    <x v="1"/>
    <n v="72"/>
    <s v="Comm&amp;Mgmt"/>
    <x v="0"/>
    <n v="72"/>
    <x v="1"/>
    <n v="61.01"/>
    <s v="First Call"/>
    <x v="0"/>
    <x v="0"/>
    <n v="264000"/>
  </r>
  <r>
    <n v="193"/>
    <s v="Male"/>
    <n v="65.2"/>
    <s v="Central"/>
    <n v="61.4"/>
    <s v="Central"/>
    <x v="0"/>
    <n v="64.8"/>
    <s v="Comm&amp;Mgmt"/>
    <x v="1"/>
    <n v="93.4"/>
    <x v="1"/>
    <n v="57.34"/>
    <s v="Pass"/>
    <x v="0"/>
    <x v="0"/>
    <n v="270000"/>
  </r>
  <r>
    <n v="194"/>
    <s v="Female"/>
    <n v="60"/>
    <s v="Central"/>
    <n v="63"/>
    <s v="Central"/>
    <x v="2"/>
    <n v="56"/>
    <s v="Others"/>
    <x v="1"/>
    <n v="80"/>
    <x v="0"/>
    <n v="56.63"/>
    <s v="Pass"/>
    <x v="0"/>
    <x v="0"/>
    <n v="300000"/>
  </r>
  <r>
    <n v="195"/>
    <s v="Male"/>
    <n v="52"/>
    <s v="Others"/>
    <n v="55"/>
    <s v="Others"/>
    <x v="0"/>
    <n v="56.3"/>
    <s v="Comm&amp;Mgmt"/>
    <x v="0"/>
    <n v="59"/>
    <x v="1"/>
    <n v="64.739999999999995"/>
    <s v="First Call"/>
    <x v="1"/>
    <x v="1"/>
    <n v="0"/>
  </r>
  <r>
    <n v="196"/>
    <s v="Male"/>
    <n v="66"/>
    <s v="Central"/>
    <n v="76"/>
    <s v="Central"/>
    <x v="0"/>
    <n v="72"/>
    <s v="Comm&amp;Mgmt"/>
    <x v="1"/>
    <n v="84"/>
    <x v="0"/>
    <n v="58.95"/>
    <s v="Pass"/>
    <x v="0"/>
    <x v="0"/>
    <n v="275000"/>
  </r>
  <r>
    <n v="197"/>
    <s v="Male"/>
    <n v="72"/>
    <s v="Others"/>
    <n v="63"/>
    <s v="Others"/>
    <x v="1"/>
    <n v="77.5"/>
    <s v="Sci&amp;Tech"/>
    <x v="1"/>
    <n v="78"/>
    <x v="1"/>
    <n v="54.48"/>
    <s v="Pass"/>
    <x v="0"/>
    <x v="0"/>
    <n v="250000"/>
  </r>
  <r>
    <n v="198"/>
    <s v="Female"/>
    <n v="83.96"/>
    <s v="Others"/>
    <n v="53"/>
    <s v="Others"/>
    <x v="1"/>
    <n v="91"/>
    <s v="Sci&amp;Tech"/>
    <x v="0"/>
    <n v="59.32"/>
    <x v="0"/>
    <n v="69.709999999999994"/>
    <s v="First Call"/>
    <x v="0"/>
    <x v="0"/>
    <n v="260000"/>
  </r>
  <r>
    <n v="199"/>
    <s v="Female"/>
    <n v="67"/>
    <s v="Central"/>
    <n v="70"/>
    <s v="Central"/>
    <x v="0"/>
    <n v="65"/>
    <s v="Others"/>
    <x v="0"/>
    <n v="88"/>
    <x v="0"/>
    <n v="71.959999999999994"/>
    <s v="First Call"/>
    <x v="1"/>
    <x v="1"/>
    <n v="0"/>
  </r>
  <r>
    <n v="200"/>
    <s v="Male"/>
    <n v="69"/>
    <s v="Others"/>
    <n v="65"/>
    <s v="Others"/>
    <x v="0"/>
    <n v="57"/>
    <s v="Comm&amp;Mgmt"/>
    <x v="0"/>
    <n v="73"/>
    <x v="0"/>
    <n v="55.8"/>
    <s v="Pass"/>
    <x v="0"/>
    <x v="0"/>
    <n v="265000"/>
  </r>
  <r>
    <n v="201"/>
    <s v="Male"/>
    <n v="69"/>
    <s v="Others"/>
    <n v="60"/>
    <s v="Others"/>
    <x v="0"/>
    <n v="65"/>
    <s v="Comm&amp;Mgmt"/>
    <x v="0"/>
    <n v="87.55"/>
    <x v="1"/>
    <n v="52.81"/>
    <s v="Pass"/>
    <x v="0"/>
    <x v="0"/>
    <n v="300000"/>
  </r>
  <r>
    <n v="202"/>
    <s v="Male"/>
    <n v="54.2"/>
    <s v="Central"/>
    <n v="63"/>
    <s v="Others"/>
    <x v="1"/>
    <n v="58"/>
    <s v="Comm&amp;Mgmt"/>
    <x v="0"/>
    <n v="79"/>
    <x v="0"/>
    <n v="58.44"/>
    <s v="Pass"/>
    <x v="1"/>
    <x v="1"/>
    <n v="0"/>
  </r>
  <r>
    <n v="203"/>
    <s v="Male"/>
    <n v="70"/>
    <s v="Central"/>
    <n v="63"/>
    <s v="Central"/>
    <x v="1"/>
    <n v="66"/>
    <s v="Sci&amp;Tech"/>
    <x v="0"/>
    <n v="61.28"/>
    <x v="0"/>
    <n v="60.11"/>
    <s v="First Call"/>
    <x v="0"/>
    <x v="0"/>
    <n v="240000"/>
  </r>
  <r>
    <n v="204"/>
    <s v="Male"/>
    <n v="55.68"/>
    <s v="Others"/>
    <n v="61.33"/>
    <s v="Others"/>
    <x v="0"/>
    <n v="56.87"/>
    <s v="Comm&amp;Mgmt"/>
    <x v="0"/>
    <n v="66"/>
    <x v="0"/>
    <n v="58.3"/>
    <s v="Pass"/>
    <x v="0"/>
    <x v="0"/>
    <n v="260000"/>
  </r>
  <r>
    <n v="205"/>
    <s v="Female"/>
    <n v="74"/>
    <s v="Others"/>
    <n v="73"/>
    <s v="Others"/>
    <x v="0"/>
    <n v="73"/>
    <s v="Comm&amp;Mgmt"/>
    <x v="1"/>
    <n v="80"/>
    <x v="1"/>
    <n v="67.69"/>
    <s v="First Call"/>
    <x v="0"/>
    <x v="0"/>
    <n v="210000"/>
  </r>
  <r>
    <n v="206"/>
    <s v="Male"/>
    <n v="61"/>
    <s v="Others"/>
    <n v="62"/>
    <s v="Others"/>
    <x v="0"/>
    <n v="65"/>
    <s v="Comm&amp;Mgmt"/>
    <x v="0"/>
    <n v="62"/>
    <x v="1"/>
    <n v="56.81"/>
    <s v="Pass"/>
    <x v="0"/>
    <x v="0"/>
    <n v="250000"/>
  </r>
  <r>
    <n v="207"/>
    <s v="Male"/>
    <n v="41"/>
    <s v="Central"/>
    <n v="42"/>
    <s v="Central"/>
    <x v="1"/>
    <n v="60"/>
    <s v="Comm&amp;Mgmt"/>
    <x v="0"/>
    <n v="97"/>
    <x v="1"/>
    <n v="53.39"/>
    <s v="Pass"/>
    <x v="1"/>
    <x v="1"/>
    <n v="0"/>
  </r>
  <r>
    <n v="208"/>
    <s v="Male"/>
    <n v="83.33"/>
    <s v="Central"/>
    <n v="78"/>
    <s v="Others"/>
    <x v="0"/>
    <n v="61"/>
    <s v="Comm&amp;Mgmt"/>
    <x v="1"/>
    <n v="88.56"/>
    <x v="1"/>
    <n v="71.55"/>
    <s v="First Call"/>
    <x v="0"/>
    <x v="0"/>
    <n v="300000"/>
  </r>
  <r>
    <n v="209"/>
    <s v="Female"/>
    <n v="43"/>
    <s v="Central"/>
    <n v="60"/>
    <s v="Others"/>
    <x v="1"/>
    <n v="65"/>
    <s v="Comm&amp;Mgmt"/>
    <x v="0"/>
    <n v="92.66"/>
    <x v="0"/>
    <n v="62.92"/>
    <s v="First Call"/>
    <x v="1"/>
    <x v="1"/>
    <n v="0"/>
  </r>
  <r>
    <n v="210"/>
    <s v="Male"/>
    <n v="62"/>
    <s v="Central"/>
    <n v="72"/>
    <s v="Central"/>
    <x v="0"/>
    <n v="65"/>
    <s v="Comm&amp;Mgmt"/>
    <x v="0"/>
    <n v="67"/>
    <x v="1"/>
    <n v="56.49"/>
    <s v="Pass"/>
    <x v="0"/>
    <x v="0"/>
    <n v="216000"/>
  </r>
  <r>
    <n v="211"/>
    <s v="Male"/>
    <n v="80.599999999999994"/>
    <s v="Others"/>
    <n v="82"/>
    <s v="Others"/>
    <x v="0"/>
    <n v="77.599999999999994"/>
    <s v="Comm&amp;Mgmt"/>
    <x v="0"/>
    <n v="91"/>
    <x v="1"/>
    <n v="74.489999999999995"/>
    <s v="First Call"/>
    <x v="0"/>
    <x v="0"/>
    <n v="400000"/>
  </r>
  <r>
    <n v="212"/>
    <s v="Male"/>
    <n v="58"/>
    <s v="Others"/>
    <n v="60"/>
    <s v="Others"/>
    <x v="1"/>
    <n v="72"/>
    <s v="Sci&amp;Tech"/>
    <x v="0"/>
    <n v="74"/>
    <x v="1"/>
    <n v="53.62"/>
    <s v="Pass"/>
    <x v="0"/>
    <x v="0"/>
    <n v="275000"/>
  </r>
  <r>
    <n v="213"/>
    <s v="Male"/>
    <n v="67"/>
    <s v="Others"/>
    <n v="67"/>
    <s v="Others"/>
    <x v="0"/>
    <n v="73"/>
    <s v="Comm&amp;Mgmt"/>
    <x v="1"/>
    <n v="59"/>
    <x v="1"/>
    <n v="69.72"/>
    <s v="First Call"/>
    <x v="0"/>
    <x v="0"/>
    <n v="295000"/>
  </r>
  <r>
    <n v="214"/>
    <s v="Female"/>
    <n v="74"/>
    <s v="Others"/>
    <n v="66"/>
    <s v="Others"/>
    <x v="0"/>
    <n v="58"/>
    <s v="Comm&amp;Mgmt"/>
    <x v="0"/>
    <n v="70"/>
    <x v="0"/>
    <n v="60.23"/>
    <s v="First Call"/>
    <x v="0"/>
    <x v="0"/>
    <n v="204000"/>
  </r>
  <r>
    <n v="215"/>
    <s v="Male"/>
    <n v="62"/>
    <s v="Central"/>
    <n v="58"/>
    <s v="Others"/>
    <x v="1"/>
    <n v="53"/>
    <s v="Comm&amp;Mgmt"/>
    <x v="0"/>
    <n v="89"/>
    <x v="0"/>
    <n v="60.22"/>
    <s v="First Call"/>
    <x v="1"/>
    <x v="1"/>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n v="1"/>
    <s v="Male"/>
    <n v="67"/>
    <s v="Others"/>
    <n v="91"/>
    <s v="Others"/>
    <s v="Commerce"/>
    <n v="58"/>
    <x v="0"/>
    <s v="No"/>
    <n v="55"/>
    <s v="Mkt&amp;HR"/>
    <n v="58.8"/>
    <x v="0"/>
    <x v="0"/>
    <s v="Standard"/>
    <n v="270000"/>
    <n v="270000"/>
  </r>
  <r>
    <n v="2"/>
    <s v="Male"/>
    <n v="79.33"/>
    <s v="Central"/>
    <n v="78.33"/>
    <s v="Others"/>
    <s v="Science"/>
    <n v="77.48"/>
    <x v="0"/>
    <s v="Yes"/>
    <n v="86.5"/>
    <s v="Mkt&amp;Fin"/>
    <n v="66.28"/>
    <x v="1"/>
    <x v="0"/>
    <s v="High Priority"/>
    <n v="200000"/>
    <n v="200000"/>
  </r>
  <r>
    <n v="3"/>
    <s v="Male"/>
    <n v="65"/>
    <s v="Central"/>
    <n v="68"/>
    <s v="Central"/>
    <s v="Arts"/>
    <n v="64"/>
    <x v="1"/>
    <s v="No"/>
    <n v="75"/>
    <s v="Mkt&amp;Fin"/>
    <n v="57.8"/>
    <x v="0"/>
    <x v="0"/>
    <s v="Standard"/>
    <n v="250000"/>
    <n v="250000"/>
  </r>
  <r>
    <n v="4"/>
    <s v="Male"/>
    <n v="56"/>
    <s v="Central"/>
    <n v="52"/>
    <s v="Central"/>
    <s v="Science"/>
    <n v="52"/>
    <x v="0"/>
    <s v="No"/>
    <n v="66"/>
    <s v="Mkt&amp;HR"/>
    <n v="59.43"/>
    <x v="0"/>
    <x v="1"/>
    <s v="Standard"/>
    <n v="0"/>
    <n v="0"/>
  </r>
  <r>
    <n v="5"/>
    <s v="Male"/>
    <n v="85.8"/>
    <s v="Central"/>
    <n v="73.599999999999994"/>
    <s v="Central"/>
    <s v="Commerce"/>
    <n v="73.3"/>
    <x v="1"/>
    <s v="No"/>
    <n v="96.8"/>
    <s v="Mkt&amp;Fin"/>
    <n v="55.5"/>
    <x v="0"/>
    <x v="0"/>
    <s v="Standard"/>
    <n v="425000"/>
    <n v="446250"/>
  </r>
  <r>
    <n v="6"/>
    <s v="Male"/>
    <n v="55"/>
    <s v="Others"/>
    <n v="49.8"/>
    <s v="Others"/>
    <s v="Science"/>
    <n v="67.25"/>
    <x v="0"/>
    <s v="Yes"/>
    <n v="55"/>
    <s v="Mkt&amp;Fin"/>
    <n v="51.58"/>
    <x v="0"/>
    <x v="1"/>
    <s v="High Priority"/>
    <n v="0"/>
    <n v="0"/>
  </r>
  <r>
    <n v="7"/>
    <s v="Female"/>
    <n v="46"/>
    <s v="Others"/>
    <n v="49.2"/>
    <s v="Others"/>
    <s v="Commerce"/>
    <n v="79"/>
    <x v="1"/>
    <s v="No"/>
    <n v="74.28"/>
    <s v="Mkt&amp;Fin"/>
    <n v="53.29"/>
    <x v="0"/>
    <x v="1"/>
    <s v="Standard"/>
    <n v="0"/>
    <n v="0"/>
  </r>
  <r>
    <n v="8"/>
    <s v="Male"/>
    <n v="82"/>
    <s v="Central"/>
    <n v="64"/>
    <s v="Central"/>
    <s v="Science"/>
    <n v="66"/>
    <x v="0"/>
    <s v="Yes"/>
    <n v="67"/>
    <s v="Mkt&amp;Fin"/>
    <n v="62.14"/>
    <x v="1"/>
    <x v="0"/>
    <s v="High Priority"/>
    <n v="252000"/>
    <n v="252000"/>
  </r>
  <r>
    <n v="9"/>
    <s v="Male"/>
    <n v="73"/>
    <s v="Central"/>
    <n v="79"/>
    <s v="Central"/>
    <s v="Commerce"/>
    <n v="72"/>
    <x v="1"/>
    <s v="No"/>
    <n v="91.34"/>
    <s v="Mkt&amp;Fin"/>
    <n v="61.29"/>
    <x v="1"/>
    <x v="0"/>
    <s v="Standard"/>
    <n v="231000"/>
    <n v="242550"/>
  </r>
  <r>
    <n v="10"/>
    <s v="Male"/>
    <n v="58"/>
    <s v="Central"/>
    <n v="70"/>
    <s v="Central"/>
    <s v="Commerce"/>
    <n v="61"/>
    <x v="1"/>
    <s v="No"/>
    <n v="54"/>
    <s v="Mkt&amp;Fin"/>
    <n v="52.21"/>
    <x v="0"/>
    <x v="1"/>
    <s v="Standard"/>
    <n v="0"/>
    <n v="0"/>
  </r>
  <r>
    <n v="11"/>
    <s v="Male"/>
    <n v="58"/>
    <s v="Central"/>
    <n v="61"/>
    <s v="Central"/>
    <s v="Commerce"/>
    <n v="60"/>
    <x v="1"/>
    <s v="Yes"/>
    <n v="62"/>
    <s v="Mkt&amp;HR"/>
    <n v="60.85"/>
    <x v="1"/>
    <x v="0"/>
    <s v="High Priority"/>
    <n v="260000"/>
    <n v="260000"/>
  </r>
  <r>
    <n v="12"/>
    <s v="Male"/>
    <n v="69.599999999999994"/>
    <s v="Central"/>
    <n v="68.400000000000006"/>
    <s v="Central"/>
    <s v="Commerce"/>
    <n v="78.3"/>
    <x v="1"/>
    <s v="Yes"/>
    <n v="60"/>
    <s v="Mkt&amp;Fin"/>
    <n v="63.7"/>
    <x v="1"/>
    <x v="0"/>
    <s v="High Priority"/>
    <n v="250000"/>
    <n v="250000"/>
  </r>
  <r>
    <n v="13"/>
    <s v="Female"/>
    <n v="47"/>
    <s v="Central"/>
    <n v="55"/>
    <s v="Others"/>
    <s v="Science"/>
    <n v="65"/>
    <x v="1"/>
    <s v="No"/>
    <n v="62"/>
    <s v="Mkt&amp;HR"/>
    <n v="65.040000000000006"/>
    <x v="1"/>
    <x v="1"/>
    <s v="Standard"/>
    <n v="0"/>
    <n v="0"/>
  </r>
  <r>
    <n v="14"/>
    <s v="Female"/>
    <n v="77"/>
    <s v="Central"/>
    <n v="87"/>
    <s v="Central"/>
    <s v="Commerce"/>
    <n v="59"/>
    <x v="1"/>
    <s v="No"/>
    <n v="68"/>
    <s v="Mkt&amp;Fin"/>
    <n v="68.63"/>
    <x v="1"/>
    <x v="0"/>
    <s v="Standard"/>
    <n v="218000"/>
    <n v="218000"/>
  </r>
  <r>
    <n v="15"/>
    <s v="Male"/>
    <n v="62"/>
    <s v="Central"/>
    <n v="47"/>
    <s v="Central"/>
    <s v="Commerce"/>
    <n v="50"/>
    <x v="1"/>
    <s v="No"/>
    <n v="76"/>
    <s v="Mkt&amp;HR"/>
    <n v="54.96"/>
    <x v="0"/>
    <x v="1"/>
    <s v="Standard"/>
    <n v="0"/>
    <n v="0"/>
  </r>
  <r>
    <n v="16"/>
    <s v="Female"/>
    <n v="65"/>
    <s v="Central"/>
    <n v="75"/>
    <s v="Central"/>
    <s v="Commerce"/>
    <n v="69"/>
    <x v="1"/>
    <s v="Yes"/>
    <n v="72"/>
    <s v="Mkt&amp;Fin"/>
    <n v="64.66"/>
    <x v="1"/>
    <x v="0"/>
    <s v="High Priority"/>
    <n v="200000"/>
    <n v="200000"/>
  </r>
  <r>
    <n v="17"/>
    <s v="Male"/>
    <n v="63"/>
    <s v="Central"/>
    <n v="66.2"/>
    <s v="Central"/>
    <s v="Commerce"/>
    <n v="65.599999999999994"/>
    <x v="1"/>
    <s v="Yes"/>
    <n v="60"/>
    <s v="Mkt&amp;Fin"/>
    <n v="62.54"/>
    <x v="1"/>
    <x v="0"/>
    <s v="High Priority"/>
    <n v="300000"/>
    <n v="300000"/>
  </r>
  <r>
    <n v="18"/>
    <s v="Female"/>
    <n v="55"/>
    <s v="Central"/>
    <n v="67"/>
    <s v="Central"/>
    <s v="Commerce"/>
    <n v="64"/>
    <x v="1"/>
    <s v="No"/>
    <n v="60"/>
    <s v="Mkt&amp;Fin"/>
    <n v="67.28"/>
    <x v="1"/>
    <x v="1"/>
    <s v="Standard"/>
    <n v="0"/>
    <n v="0"/>
  </r>
  <r>
    <n v="19"/>
    <s v="Female"/>
    <n v="63"/>
    <s v="Central"/>
    <n v="66"/>
    <s v="Central"/>
    <s v="Commerce"/>
    <n v="64"/>
    <x v="1"/>
    <s v="No"/>
    <n v="68"/>
    <s v="Mkt&amp;HR"/>
    <n v="64.08"/>
    <x v="1"/>
    <x v="1"/>
    <s v="Standard"/>
    <n v="0"/>
    <n v="0"/>
  </r>
  <r>
    <n v="20"/>
    <s v="Male"/>
    <n v="60"/>
    <s v="Others"/>
    <n v="67"/>
    <s v="Others"/>
    <s v="Arts"/>
    <n v="70"/>
    <x v="1"/>
    <s v="Yes"/>
    <n v="50.48"/>
    <s v="Mkt&amp;Fin"/>
    <n v="77.89"/>
    <x v="2"/>
    <x v="0"/>
    <s v="High Priority"/>
    <n v="236000"/>
    <n v="236000"/>
  </r>
  <r>
    <n v="21"/>
    <s v="Male"/>
    <n v="62"/>
    <s v="Others"/>
    <n v="65"/>
    <s v="Others"/>
    <s v="Commerce"/>
    <n v="66"/>
    <x v="1"/>
    <s v="No"/>
    <n v="50"/>
    <s v="Mkt&amp;HR"/>
    <n v="56.7"/>
    <x v="0"/>
    <x v="0"/>
    <s v="Standard"/>
    <n v="265000"/>
    <n v="265000"/>
  </r>
  <r>
    <n v="22"/>
    <s v="Female"/>
    <n v="79"/>
    <s v="Others"/>
    <n v="76"/>
    <s v="Others"/>
    <s v="Commerce"/>
    <n v="85"/>
    <x v="1"/>
    <s v="No"/>
    <n v="95"/>
    <s v="Mkt&amp;Fin"/>
    <n v="69.06"/>
    <x v="1"/>
    <x v="0"/>
    <s v="Standard"/>
    <n v="393000"/>
    <n v="412650"/>
  </r>
  <r>
    <n v="23"/>
    <s v="Female"/>
    <n v="69.8"/>
    <s v="Others"/>
    <n v="60.8"/>
    <s v="Others"/>
    <s v="Science"/>
    <n v="72.23"/>
    <x v="0"/>
    <s v="No"/>
    <n v="55.53"/>
    <s v="Mkt&amp;HR"/>
    <n v="68.81"/>
    <x v="1"/>
    <x v="0"/>
    <s v="Standard"/>
    <n v="360000"/>
    <n v="360000"/>
  </r>
  <r>
    <n v="24"/>
    <s v="Female"/>
    <n v="77.400000000000006"/>
    <s v="Others"/>
    <n v="60"/>
    <s v="Others"/>
    <s v="Science"/>
    <n v="64.739999999999995"/>
    <x v="0"/>
    <s v="Yes"/>
    <n v="92"/>
    <s v="Mkt&amp;Fin"/>
    <n v="63.62"/>
    <x v="1"/>
    <x v="0"/>
    <s v="High Priority"/>
    <n v="300000"/>
    <n v="315000"/>
  </r>
  <r>
    <n v="25"/>
    <s v="Male"/>
    <n v="76.5"/>
    <s v="Others"/>
    <n v="97.7"/>
    <s v="Others"/>
    <s v="Science"/>
    <n v="78.86"/>
    <x v="0"/>
    <s v="No"/>
    <n v="97.4"/>
    <s v="Mkt&amp;Fin"/>
    <n v="74.010000000000005"/>
    <x v="1"/>
    <x v="0"/>
    <s v="Standard"/>
    <n v="360000"/>
    <n v="378000"/>
  </r>
  <r>
    <n v="26"/>
    <s v="Female"/>
    <n v="52.58"/>
    <s v="Others"/>
    <n v="54.6"/>
    <s v="Central"/>
    <s v="Commerce"/>
    <n v="50.2"/>
    <x v="1"/>
    <s v="Yes"/>
    <n v="76"/>
    <s v="Mkt&amp;Fin"/>
    <n v="65.33"/>
    <x v="1"/>
    <x v="1"/>
    <s v="High Priority"/>
    <n v="0"/>
    <n v="0"/>
  </r>
  <r>
    <n v="27"/>
    <s v="Male"/>
    <n v="71"/>
    <s v="Others"/>
    <n v="79"/>
    <s v="Others"/>
    <s v="Commerce"/>
    <n v="66"/>
    <x v="1"/>
    <s v="Yes"/>
    <n v="94"/>
    <s v="Mkt&amp;Fin"/>
    <n v="57.55"/>
    <x v="0"/>
    <x v="0"/>
    <s v="High Priority"/>
    <n v="240000"/>
    <n v="252000"/>
  </r>
  <r>
    <n v="28"/>
    <s v="Male"/>
    <n v="63"/>
    <s v="Others"/>
    <n v="67"/>
    <s v="Others"/>
    <s v="Commerce"/>
    <n v="66"/>
    <x v="1"/>
    <s v="No"/>
    <n v="68"/>
    <s v="Mkt&amp;HR"/>
    <n v="57.69"/>
    <x v="0"/>
    <x v="0"/>
    <s v="Standard"/>
    <n v="265000"/>
    <n v="265000"/>
  </r>
  <r>
    <n v="29"/>
    <s v="Male"/>
    <n v="76.760000000000005"/>
    <s v="Others"/>
    <n v="76.5"/>
    <s v="Others"/>
    <s v="Commerce"/>
    <n v="67.5"/>
    <x v="1"/>
    <s v="Yes"/>
    <n v="73.349999999999994"/>
    <s v="Mkt&amp;Fin"/>
    <n v="64.150000000000006"/>
    <x v="1"/>
    <x v="0"/>
    <s v="High Priority"/>
    <n v="350000"/>
    <n v="350000"/>
  </r>
  <r>
    <n v="30"/>
    <s v="Male"/>
    <n v="62"/>
    <s v="Central"/>
    <n v="67"/>
    <s v="Central"/>
    <s v="Commerce"/>
    <n v="58"/>
    <x v="1"/>
    <s v="No"/>
    <n v="77"/>
    <s v="Mkt&amp;Fin"/>
    <n v="51.29"/>
    <x v="0"/>
    <x v="1"/>
    <s v="Standard"/>
    <n v="0"/>
    <n v="0"/>
  </r>
  <r>
    <n v="31"/>
    <s v="Female"/>
    <n v="64"/>
    <s v="Central"/>
    <n v="73.5"/>
    <s v="Central"/>
    <s v="Commerce"/>
    <n v="73"/>
    <x v="1"/>
    <s v="No"/>
    <n v="52"/>
    <s v="Mkt&amp;HR"/>
    <n v="56.7"/>
    <x v="0"/>
    <x v="0"/>
    <s v="Standard"/>
    <n v="250000"/>
    <n v="250000"/>
  </r>
  <r>
    <n v="32"/>
    <s v="Female"/>
    <n v="67"/>
    <s v="Central"/>
    <n v="53"/>
    <s v="Central"/>
    <s v="Science"/>
    <n v="65"/>
    <x v="0"/>
    <s v="No"/>
    <n v="64"/>
    <s v="Mkt&amp;HR"/>
    <n v="58.32"/>
    <x v="0"/>
    <x v="1"/>
    <s v="Standard"/>
    <n v="0"/>
    <n v="0"/>
  </r>
  <r>
    <n v="33"/>
    <s v="Female"/>
    <n v="61"/>
    <s v="Central"/>
    <n v="81"/>
    <s v="Central"/>
    <s v="Commerce"/>
    <n v="66.400000000000006"/>
    <x v="1"/>
    <s v="No"/>
    <n v="50.89"/>
    <s v="Mkt&amp;HR"/>
    <n v="62.21"/>
    <x v="1"/>
    <x v="0"/>
    <s v="Standard"/>
    <n v="278000"/>
    <n v="278000"/>
  </r>
  <r>
    <n v="34"/>
    <s v="Female"/>
    <n v="87"/>
    <s v="Others"/>
    <n v="65"/>
    <s v="Others"/>
    <s v="Science"/>
    <n v="81"/>
    <x v="1"/>
    <s v="Yes"/>
    <n v="88"/>
    <s v="Mkt&amp;Fin"/>
    <n v="72.78"/>
    <x v="1"/>
    <x v="0"/>
    <s v="High Priority"/>
    <n v="260000"/>
    <n v="260000"/>
  </r>
  <r>
    <n v="35"/>
    <s v="Male"/>
    <n v="62"/>
    <s v="Others"/>
    <n v="51"/>
    <s v="Others"/>
    <s v="Science"/>
    <n v="52"/>
    <x v="2"/>
    <s v="No"/>
    <n v="68.44"/>
    <s v="Mkt&amp;HR"/>
    <n v="62.77"/>
    <x v="1"/>
    <x v="1"/>
    <s v="Standard"/>
    <n v="0"/>
    <n v="0"/>
  </r>
  <r>
    <n v="36"/>
    <s v="Female"/>
    <n v="69"/>
    <s v="Central"/>
    <n v="78"/>
    <s v="Central"/>
    <s v="Commerce"/>
    <n v="72"/>
    <x v="1"/>
    <s v="No"/>
    <n v="71"/>
    <s v="Mkt&amp;HR"/>
    <n v="62.74"/>
    <x v="1"/>
    <x v="0"/>
    <s v="Standard"/>
    <n v="300000"/>
    <n v="300000"/>
  </r>
  <r>
    <n v="37"/>
    <s v="Male"/>
    <n v="51"/>
    <s v="Central"/>
    <n v="44"/>
    <s v="Central"/>
    <s v="Commerce"/>
    <n v="57"/>
    <x v="1"/>
    <s v="No"/>
    <n v="64"/>
    <s v="Mkt&amp;Fin"/>
    <n v="51.45"/>
    <x v="0"/>
    <x v="1"/>
    <s v="Standard"/>
    <n v="0"/>
    <n v="0"/>
  </r>
  <r>
    <n v="38"/>
    <s v="Female"/>
    <n v="79"/>
    <s v="Central"/>
    <n v="76"/>
    <s v="Central"/>
    <s v="Science"/>
    <n v="65.599999999999994"/>
    <x v="0"/>
    <s v="No"/>
    <n v="58"/>
    <s v="Mkt&amp;HR"/>
    <n v="55.47"/>
    <x v="0"/>
    <x v="0"/>
    <s v="Standard"/>
    <n v="320000"/>
    <n v="320000"/>
  </r>
  <r>
    <n v="39"/>
    <s v="Female"/>
    <n v="73"/>
    <s v="Others"/>
    <n v="58"/>
    <s v="Others"/>
    <s v="Science"/>
    <n v="66"/>
    <x v="1"/>
    <s v="No"/>
    <n v="53.7"/>
    <s v="Mkt&amp;HR"/>
    <n v="56.86"/>
    <x v="0"/>
    <x v="0"/>
    <s v="Standard"/>
    <n v="240000"/>
    <n v="240000"/>
  </r>
  <r>
    <n v="40"/>
    <s v="Male"/>
    <n v="81"/>
    <s v="Others"/>
    <n v="68"/>
    <s v="Others"/>
    <s v="Science"/>
    <n v="64"/>
    <x v="0"/>
    <s v="No"/>
    <n v="93"/>
    <s v="Mkt&amp;Fin"/>
    <n v="62.56"/>
    <x v="1"/>
    <x v="0"/>
    <s v="Standard"/>
    <n v="411000"/>
    <n v="431550"/>
  </r>
  <r>
    <n v="41"/>
    <s v="Female"/>
    <n v="78"/>
    <s v="Central"/>
    <n v="77"/>
    <s v="Others"/>
    <s v="Commerce"/>
    <n v="80"/>
    <x v="1"/>
    <s v="No"/>
    <n v="60"/>
    <s v="Mkt&amp;Fin"/>
    <n v="66.72"/>
    <x v="1"/>
    <x v="0"/>
    <s v="Standard"/>
    <n v="287000"/>
    <n v="287000"/>
  </r>
  <r>
    <n v="42"/>
    <s v="Female"/>
    <n v="74"/>
    <s v="Others"/>
    <n v="63.16"/>
    <s v="Others"/>
    <s v="Commerce"/>
    <n v="65"/>
    <x v="1"/>
    <s v="Yes"/>
    <n v="65"/>
    <s v="Mkt&amp;HR"/>
    <n v="69.760000000000005"/>
    <x v="1"/>
    <x v="1"/>
    <s v="High Priority"/>
    <n v="0"/>
    <n v="0"/>
  </r>
  <r>
    <n v="43"/>
    <s v="Male"/>
    <n v="49"/>
    <s v="Others"/>
    <n v="39"/>
    <s v="Central"/>
    <s v="Science"/>
    <n v="65"/>
    <x v="2"/>
    <s v="No"/>
    <n v="63"/>
    <s v="Mkt&amp;Fin"/>
    <n v="51.21"/>
    <x v="0"/>
    <x v="1"/>
    <s v="Standard"/>
    <n v="0"/>
    <n v="0"/>
  </r>
  <r>
    <n v="44"/>
    <s v="Male"/>
    <n v="87"/>
    <s v="Others"/>
    <n v="87"/>
    <s v="Others"/>
    <s v="Commerce"/>
    <n v="68"/>
    <x v="1"/>
    <s v="No"/>
    <n v="95"/>
    <s v="Mkt&amp;HR"/>
    <n v="62.9"/>
    <x v="1"/>
    <x v="0"/>
    <s v="Standard"/>
    <n v="300000"/>
    <n v="315000"/>
  </r>
  <r>
    <n v="45"/>
    <s v="Female"/>
    <n v="77"/>
    <s v="Others"/>
    <n v="73"/>
    <s v="Others"/>
    <s v="Commerce"/>
    <n v="81"/>
    <x v="1"/>
    <s v="Yes"/>
    <n v="89"/>
    <s v="Mkt&amp;Fin"/>
    <n v="69.7"/>
    <x v="1"/>
    <x v="0"/>
    <s v="High Priority"/>
    <n v="200000"/>
    <n v="200000"/>
  </r>
  <r>
    <n v="46"/>
    <s v="Female"/>
    <n v="76"/>
    <s v="Central"/>
    <n v="64"/>
    <s v="Central"/>
    <s v="Science"/>
    <n v="72"/>
    <x v="0"/>
    <s v="No"/>
    <n v="58"/>
    <s v="Mkt&amp;HR"/>
    <n v="66.53"/>
    <x v="1"/>
    <x v="1"/>
    <s v="Standard"/>
    <n v="0"/>
    <n v="0"/>
  </r>
  <r>
    <n v="47"/>
    <s v="Female"/>
    <n v="70.89"/>
    <s v="Others"/>
    <n v="71.98"/>
    <s v="Others"/>
    <s v="Science"/>
    <n v="65.599999999999994"/>
    <x v="1"/>
    <s v="No"/>
    <n v="68"/>
    <s v="Mkt&amp;HR"/>
    <n v="71.63"/>
    <x v="1"/>
    <x v="1"/>
    <s v="Standard"/>
    <n v="0"/>
    <n v="0"/>
  </r>
  <r>
    <n v="48"/>
    <s v="Male"/>
    <n v="63"/>
    <s v="Central"/>
    <n v="60"/>
    <s v="Central"/>
    <s v="Commerce"/>
    <n v="57"/>
    <x v="1"/>
    <s v="Yes"/>
    <n v="78"/>
    <s v="Mkt&amp;Fin"/>
    <n v="54.55"/>
    <x v="0"/>
    <x v="0"/>
    <s v="High Priority"/>
    <n v="204000"/>
    <n v="204000"/>
  </r>
  <r>
    <n v="49"/>
    <s v="Male"/>
    <n v="63"/>
    <s v="Others"/>
    <n v="62"/>
    <s v="Others"/>
    <s v="Commerce"/>
    <n v="68"/>
    <x v="1"/>
    <s v="No"/>
    <n v="64"/>
    <s v="Mkt&amp;Fin"/>
    <n v="62.46"/>
    <x v="1"/>
    <x v="0"/>
    <s v="Standard"/>
    <n v="250000"/>
    <n v="250000"/>
  </r>
  <r>
    <n v="50"/>
    <s v="Female"/>
    <n v="50"/>
    <s v="Others"/>
    <n v="37"/>
    <s v="Others"/>
    <s v="Arts"/>
    <n v="52"/>
    <x v="2"/>
    <s v="No"/>
    <n v="65"/>
    <s v="Mkt&amp;HR"/>
    <n v="56.11"/>
    <x v="0"/>
    <x v="1"/>
    <s v="Standard"/>
    <n v="0"/>
    <n v="0"/>
  </r>
  <r>
    <n v="51"/>
    <s v="Female"/>
    <n v="75.2"/>
    <s v="Central"/>
    <n v="73.2"/>
    <s v="Central"/>
    <s v="Science"/>
    <n v="68.400000000000006"/>
    <x v="1"/>
    <s v="No"/>
    <n v="65"/>
    <s v="Mkt&amp;HR"/>
    <n v="62.98"/>
    <x v="1"/>
    <x v="0"/>
    <s v="Standard"/>
    <n v="200000"/>
    <n v="200000"/>
  </r>
  <r>
    <n v="52"/>
    <s v="Male"/>
    <n v="54.4"/>
    <s v="Central"/>
    <n v="61.12"/>
    <s v="Central"/>
    <s v="Commerce"/>
    <n v="56.2"/>
    <x v="1"/>
    <s v="No"/>
    <n v="67"/>
    <s v="Mkt&amp;HR"/>
    <n v="62.65"/>
    <x v="1"/>
    <x v="1"/>
    <s v="Standard"/>
    <n v="0"/>
    <n v="0"/>
  </r>
  <r>
    <n v="53"/>
    <s v="Female"/>
    <n v="40.89"/>
    <s v="Others"/>
    <n v="45.83"/>
    <s v="Others"/>
    <s v="Commerce"/>
    <n v="53"/>
    <x v="1"/>
    <s v="No"/>
    <n v="71.2"/>
    <s v="Mkt&amp;HR"/>
    <n v="65.489999999999995"/>
    <x v="1"/>
    <x v="1"/>
    <s v="Standard"/>
    <n v="0"/>
    <n v="0"/>
  </r>
  <r>
    <n v="54"/>
    <s v="Male"/>
    <n v="80"/>
    <s v="Others"/>
    <n v="70"/>
    <s v="Others"/>
    <s v="Science"/>
    <n v="72"/>
    <x v="0"/>
    <s v="No"/>
    <n v="87"/>
    <s v="Mkt&amp;HR"/>
    <n v="71.040000000000006"/>
    <x v="1"/>
    <x v="0"/>
    <s v="Standard"/>
    <n v="450000"/>
    <n v="450000"/>
  </r>
  <r>
    <n v="55"/>
    <s v="Female"/>
    <n v="74"/>
    <s v="Central"/>
    <n v="60"/>
    <s v="Others"/>
    <s v="Science"/>
    <n v="69"/>
    <x v="1"/>
    <s v="No"/>
    <n v="78"/>
    <s v="Mkt&amp;HR"/>
    <n v="65.56"/>
    <x v="1"/>
    <x v="0"/>
    <s v="Standard"/>
    <n v="216000"/>
    <n v="216000"/>
  </r>
  <r>
    <n v="56"/>
    <s v="Male"/>
    <n v="60.4"/>
    <s v="Central"/>
    <n v="66.599999999999994"/>
    <s v="Others"/>
    <s v="Science"/>
    <n v="65"/>
    <x v="1"/>
    <s v="No"/>
    <n v="71"/>
    <s v="Mkt&amp;HR"/>
    <n v="52.71"/>
    <x v="0"/>
    <x v="0"/>
    <s v="Standard"/>
    <n v="220000"/>
    <n v="220000"/>
  </r>
  <r>
    <n v="57"/>
    <s v="Male"/>
    <n v="63"/>
    <s v="Others"/>
    <n v="71.400000000000006"/>
    <s v="Others"/>
    <s v="Commerce"/>
    <n v="61.4"/>
    <x v="1"/>
    <s v="No"/>
    <n v="68"/>
    <s v="Mkt&amp;Fin"/>
    <n v="66.88"/>
    <x v="1"/>
    <x v="0"/>
    <s v="Standard"/>
    <n v="240000"/>
    <n v="240000"/>
  </r>
  <r>
    <n v="58"/>
    <s v="Male"/>
    <n v="68"/>
    <s v="Central"/>
    <n v="76"/>
    <s v="Central"/>
    <s v="Commerce"/>
    <n v="74"/>
    <x v="1"/>
    <s v="No"/>
    <n v="80"/>
    <s v="Mkt&amp;Fin"/>
    <n v="63.59"/>
    <x v="1"/>
    <x v="0"/>
    <s v="Standard"/>
    <n v="360000"/>
    <n v="360000"/>
  </r>
  <r>
    <n v="59"/>
    <s v="Male"/>
    <n v="74"/>
    <s v="Central"/>
    <n v="62"/>
    <s v="Others"/>
    <s v="Science"/>
    <n v="68"/>
    <x v="1"/>
    <s v="No"/>
    <n v="74"/>
    <s v="Mkt&amp;Fin"/>
    <n v="57.99"/>
    <x v="0"/>
    <x v="0"/>
    <s v="Standard"/>
    <n v="268000"/>
    <n v="268000"/>
  </r>
  <r>
    <n v="60"/>
    <s v="Male"/>
    <n v="52.6"/>
    <s v="Central"/>
    <n v="65.58"/>
    <s v="Others"/>
    <s v="Science"/>
    <n v="72.11"/>
    <x v="0"/>
    <s v="No"/>
    <n v="57.6"/>
    <s v="Mkt&amp;Fin"/>
    <n v="56.66"/>
    <x v="0"/>
    <x v="0"/>
    <s v="Standard"/>
    <n v="265000"/>
    <n v="265000"/>
  </r>
  <r>
    <n v="61"/>
    <s v="Male"/>
    <n v="74"/>
    <s v="Central"/>
    <n v="70"/>
    <s v="Central"/>
    <s v="Science"/>
    <n v="72"/>
    <x v="1"/>
    <s v="Yes"/>
    <n v="60"/>
    <s v="Mkt&amp;Fin"/>
    <n v="57.24"/>
    <x v="0"/>
    <x v="0"/>
    <s v="High Priority"/>
    <n v="260000"/>
    <n v="260000"/>
  </r>
  <r>
    <n v="62"/>
    <s v="Male"/>
    <n v="84.2"/>
    <s v="Central"/>
    <n v="73.400000000000006"/>
    <s v="Central"/>
    <s v="Commerce"/>
    <n v="66.89"/>
    <x v="1"/>
    <s v="No"/>
    <n v="61.6"/>
    <s v="Mkt&amp;Fin"/>
    <n v="62.48"/>
    <x v="1"/>
    <x v="0"/>
    <s v="Standard"/>
    <n v="300000"/>
    <n v="300000"/>
  </r>
  <r>
    <n v="63"/>
    <s v="Female"/>
    <n v="86.5"/>
    <s v="Others"/>
    <n v="64.2"/>
    <s v="Others"/>
    <s v="Science"/>
    <n v="67.400000000000006"/>
    <x v="0"/>
    <s v="No"/>
    <n v="59"/>
    <s v="Mkt&amp;Fin"/>
    <n v="59.69"/>
    <x v="0"/>
    <x v="0"/>
    <s v="Standard"/>
    <n v="240000"/>
    <n v="240000"/>
  </r>
  <r>
    <n v="64"/>
    <s v="Male"/>
    <n v="61"/>
    <s v="Others"/>
    <n v="70"/>
    <s v="Others"/>
    <s v="Commerce"/>
    <n v="64"/>
    <x v="1"/>
    <s v="No"/>
    <n v="68.5"/>
    <s v="Mkt&amp;HR"/>
    <n v="59.5"/>
    <x v="0"/>
    <x v="1"/>
    <s v="Standard"/>
    <n v="0"/>
    <n v="0"/>
  </r>
  <r>
    <n v="65"/>
    <s v="Male"/>
    <n v="80"/>
    <s v="Others"/>
    <n v="73"/>
    <s v="Others"/>
    <s v="Commerce"/>
    <n v="75"/>
    <x v="1"/>
    <s v="No"/>
    <n v="61"/>
    <s v="Mkt&amp;Fin"/>
    <n v="58.78"/>
    <x v="0"/>
    <x v="0"/>
    <s v="Standard"/>
    <n v="240000"/>
    <n v="240000"/>
  </r>
  <r>
    <n v="66"/>
    <s v="Male"/>
    <n v="54"/>
    <s v="Others"/>
    <n v="47"/>
    <s v="Others"/>
    <s v="Science"/>
    <n v="57"/>
    <x v="1"/>
    <s v="No"/>
    <n v="89.69"/>
    <s v="Mkt&amp;HR"/>
    <n v="57.1"/>
    <x v="0"/>
    <x v="1"/>
    <s v="Standard"/>
    <n v="0"/>
    <n v="0"/>
  </r>
  <r>
    <n v="67"/>
    <s v="Male"/>
    <n v="83"/>
    <s v="Others"/>
    <n v="74"/>
    <s v="Others"/>
    <s v="Science"/>
    <n v="66"/>
    <x v="1"/>
    <s v="No"/>
    <n v="68.92"/>
    <s v="Mkt&amp;HR"/>
    <n v="58.46"/>
    <x v="0"/>
    <x v="0"/>
    <s v="Standard"/>
    <n v="275000"/>
    <n v="275000"/>
  </r>
  <r>
    <n v="68"/>
    <s v="Male"/>
    <n v="80.92"/>
    <s v="Others"/>
    <n v="78.5"/>
    <s v="Others"/>
    <s v="Commerce"/>
    <n v="67"/>
    <x v="1"/>
    <s v="No"/>
    <n v="68.709999999999994"/>
    <s v="Mkt&amp;Fin"/>
    <n v="60.99"/>
    <x v="1"/>
    <x v="0"/>
    <s v="Standard"/>
    <n v="275000"/>
    <n v="275000"/>
  </r>
  <r>
    <n v="69"/>
    <s v="Female"/>
    <n v="69.7"/>
    <s v="Central"/>
    <n v="47"/>
    <s v="Central"/>
    <s v="Commerce"/>
    <n v="72.7"/>
    <x v="0"/>
    <s v="No"/>
    <n v="79"/>
    <s v="Mkt&amp;HR"/>
    <n v="59.24"/>
    <x v="0"/>
    <x v="1"/>
    <s v="Standard"/>
    <n v="0"/>
    <n v="0"/>
  </r>
  <r>
    <n v="70"/>
    <s v="Male"/>
    <n v="73"/>
    <s v="Central"/>
    <n v="73"/>
    <s v="Central"/>
    <s v="Science"/>
    <n v="66"/>
    <x v="0"/>
    <s v="Yes"/>
    <n v="70"/>
    <s v="Mkt&amp;Fin"/>
    <n v="68.069999999999993"/>
    <x v="1"/>
    <x v="0"/>
    <s v="High Priority"/>
    <n v="275000"/>
    <n v="275000"/>
  </r>
  <r>
    <n v="71"/>
    <s v="Male"/>
    <n v="82"/>
    <s v="Others"/>
    <n v="61"/>
    <s v="Others"/>
    <s v="Science"/>
    <n v="62"/>
    <x v="0"/>
    <s v="No"/>
    <n v="89"/>
    <s v="Mkt&amp;Fin"/>
    <n v="65.45"/>
    <x v="1"/>
    <x v="0"/>
    <s v="Standard"/>
    <n v="360000"/>
    <n v="360000"/>
  </r>
  <r>
    <n v="72"/>
    <s v="Male"/>
    <n v="75"/>
    <s v="Others"/>
    <n v="70.290000000000006"/>
    <s v="Others"/>
    <s v="Commerce"/>
    <n v="71"/>
    <x v="1"/>
    <s v="No"/>
    <n v="95"/>
    <s v="Mkt&amp;Fin"/>
    <n v="66.94"/>
    <x v="1"/>
    <x v="0"/>
    <s v="Standard"/>
    <n v="240000"/>
    <n v="252000"/>
  </r>
  <r>
    <n v="73"/>
    <s v="Male"/>
    <n v="84.86"/>
    <s v="Others"/>
    <n v="67"/>
    <s v="Others"/>
    <s v="Science"/>
    <n v="78"/>
    <x v="1"/>
    <s v="No"/>
    <n v="95.5"/>
    <s v="Mkt&amp;Fin"/>
    <n v="68.53"/>
    <x v="1"/>
    <x v="0"/>
    <s v="Standard"/>
    <n v="240000"/>
    <n v="252000"/>
  </r>
  <r>
    <n v="74"/>
    <s v="Male"/>
    <n v="64.599999999999994"/>
    <s v="Central"/>
    <n v="83.83"/>
    <s v="Others"/>
    <s v="Commerce"/>
    <n v="71.72"/>
    <x v="1"/>
    <s v="No"/>
    <n v="86"/>
    <s v="Mkt&amp;Fin"/>
    <n v="59.75"/>
    <x v="0"/>
    <x v="0"/>
    <s v="Standard"/>
    <n v="218000"/>
    <n v="218000"/>
  </r>
  <r>
    <n v="75"/>
    <s v="Male"/>
    <n v="56.6"/>
    <s v="Central"/>
    <n v="64.8"/>
    <s v="Central"/>
    <s v="Commerce"/>
    <n v="70.2"/>
    <x v="1"/>
    <s v="No"/>
    <n v="84.27"/>
    <s v="Mkt&amp;Fin"/>
    <n v="67.2"/>
    <x v="1"/>
    <x v="0"/>
    <s v="Standard"/>
    <n v="336000"/>
    <n v="336000"/>
  </r>
  <r>
    <n v="76"/>
    <s v="Female"/>
    <n v="59"/>
    <s v="Central"/>
    <n v="62"/>
    <s v="Others"/>
    <s v="Commerce"/>
    <n v="77.5"/>
    <x v="1"/>
    <s v="No"/>
    <n v="74"/>
    <s v="Mkt&amp;HR"/>
    <n v="67"/>
    <x v="1"/>
    <x v="1"/>
    <s v="Standard"/>
    <n v="0"/>
    <n v="0"/>
  </r>
  <r>
    <n v="77"/>
    <s v="Female"/>
    <n v="66.5"/>
    <s v="Others"/>
    <n v="70.400000000000006"/>
    <s v="Central"/>
    <s v="Arts"/>
    <n v="71.930000000000007"/>
    <x v="1"/>
    <s v="No"/>
    <n v="61"/>
    <s v="Mkt&amp;Fin"/>
    <n v="64.27"/>
    <x v="1"/>
    <x v="0"/>
    <s v="Standard"/>
    <n v="230000"/>
    <n v="230000"/>
  </r>
  <r>
    <n v="78"/>
    <s v="Male"/>
    <n v="64"/>
    <s v="Others"/>
    <n v="80"/>
    <s v="Others"/>
    <s v="Science"/>
    <n v="65"/>
    <x v="0"/>
    <s v="Yes"/>
    <n v="69"/>
    <s v="Mkt&amp;Fin"/>
    <n v="57.65"/>
    <x v="0"/>
    <x v="0"/>
    <s v="High Priority"/>
    <n v="500000"/>
    <n v="500000"/>
  </r>
  <r>
    <n v="79"/>
    <s v="Male"/>
    <n v="84"/>
    <s v="Others"/>
    <n v="90.9"/>
    <s v="Others"/>
    <s v="Science"/>
    <n v="64.5"/>
    <x v="0"/>
    <s v="No"/>
    <n v="86.04"/>
    <s v="Mkt&amp;Fin"/>
    <n v="59.42"/>
    <x v="0"/>
    <x v="0"/>
    <s v="Standard"/>
    <n v="270000"/>
    <n v="270000"/>
  </r>
  <r>
    <n v="80"/>
    <s v="Female"/>
    <n v="69"/>
    <s v="Central"/>
    <n v="62"/>
    <s v="Central"/>
    <s v="Science"/>
    <n v="66"/>
    <x v="0"/>
    <s v="No"/>
    <n v="75"/>
    <s v="Mkt&amp;HR"/>
    <n v="67.989999999999995"/>
    <x v="1"/>
    <x v="1"/>
    <s v="Standard"/>
    <n v="0"/>
    <n v="0"/>
  </r>
  <r>
    <n v="81"/>
    <s v="Female"/>
    <n v="69"/>
    <s v="Others"/>
    <n v="62"/>
    <s v="Others"/>
    <s v="Commerce"/>
    <n v="69"/>
    <x v="1"/>
    <s v="Yes"/>
    <n v="67"/>
    <s v="Mkt&amp;HR"/>
    <n v="62.35"/>
    <x v="1"/>
    <x v="0"/>
    <s v="High Priority"/>
    <n v="240000"/>
    <n v="240000"/>
  </r>
  <r>
    <n v="82"/>
    <s v="Male"/>
    <n v="81.7"/>
    <s v="Others"/>
    <n v="63"/>
    <s v="Others"/>
    <s v="Science"/>
    <n v="67"/>
    <x v="1"/>
    <s v="Yes"/>
    <n v="86"/>
    <s v="Mkt&amp;Fin"/>
    <n v="70.2"/>
    <x v="1"/>
    <x v="0"/>
    <s v="High Priority"/>
    <n v="300000"/>
    <n v="300000"/>
  </r>
  <r>
    <n v="83"/>
    <s v="Male"/>
    <n v="63"/>
    <s v="Central"/>
    <n v="67"/>
    <s v="Central"/>
    <s v="Commerce"/>
    <n v="74"/>
    <x v="1"/>
    <s v="No"/>
    <n v="82"/>
    <s v="Mkt&amp;Fin"/>
    <n v="60.44"/>
    <x v="1"/>
    <x v="1"/>
    <s v="Standard"/>
    <n v="0"/>
    <n v="0"/>
  </r>
  <r>
    <n v="84"/>
    <s v="Male"/>
    <n v="84"/>
    <s v="Others"/>
    <n v="79"/>
    <s v="Others"/>
    <s v="Science"/>
    <n v="68"/>
    <x v="0"/>
    <s v="Yes"/>
    <n v="84"/>
    <s v="Mkt&amp;Fin"/>
    <n v="66.69"/>
    <x v="1"/>
    <x v="0"/>
    <s v="High Priority"/>
    <n v="300000"/>
    <n v="300000"/>
  </r>
  <r>
    <n v="85"/>
    <s v="Male"/>
    <n v="70"/>
    <s v="Central"/>
    <n v="63"/>
    <s v="Others"/>
    <s v="Science"/>
    <n v="70"/>
    <x v="0"/>
    <s v="Yes"/>
    <n v="55"/>
    <s v="Mkt&amp;Fin"/>
    <n v="62"/>
    <x v="1"/>
    <x v="0"/>
    <s v="High Priority"/>
    <n v="300000"/>
    <n v="300000"/>
  </r>
  <r>
    <n v="86"/>
    <s v="Female"/>
    <n v="83.84"/>
    <s v="Others"/>
    <n v="89.83"/>
    <s v="Others"/>
    <s v="Commerce"/>
    <n v="77.2"/>
    <x v="1"/>
    <s v="Yes"/>
    <n v="78.739999999999995"/>
    <s v="Mkt&amp;Fin"/>
    <n v="76.180000000000007"/>
    <x v="2"/>
    <x v="0"/>
    <s v="High Priority"/>
    <n v="400000"/>
    <n v="400000"/>
  </r>
  <r>
    <n v="87"/>
    <s v="Male"/>
    <n v="62"/>
    <s v="Others"/>
    <n v="63"/>
    <s v="Others"/>
    <s v="Commerce"/>
    <n v="64"/>
    <x v="1"/>
    <s v="No"/>
    <n v="67"/>
    <s v="Mkt&amp;Fin"/>
    <n v="57.03"/>
    <x v="0"/>
    <x v="0"/>
    <s v="Standard"/>
    <n v="220000"/>
    <n v="220000"/>
  </r>
  <r>
    <n v="88"/>
    <s v="Male"/>
    <n v="59.6"/>
    <s v="Central"/>
    <n v="51"/>
    <s v="Central"/>
    <s v="Science"/>
    <n v="60"/>
    <x v="2"/>
    <s v="No"/>
    <n v="75"/>
    <s v="Mkt&amp;HR"/>
    <n v="59.08"/>
    <x v="0"/>
    <x v="1"/>
    <s v="Standard"/>
    <n v="0"/>
    <n v="0"/>
  </r>
  <r>
    <n v="89"/>
    <s v="Female"/>
    <n v="66"/>
    <s v="Central"/>
    <n v="62"/>
    <s v="Central"/>
    <s v="Commerce"/>
    <n v="73"/>
    <x v="1"/>
    <s v="No"/>
    <n v="58"/>
    <s v="Mkt&amp;HR"/>
    <n v="64.36"/>
    <x v="1"/>
    <x v="0"/>
    <s v="Standard"/>
    <n v="210000"/>
    <n v="210000"/>
  </r>
  <r>
    <n v="90"/>
    <s v="Female"/>
    <n v="84"/>
    <s v="Others"/>
    <n v="75"/>
    <s v="Others"/>
    <s v="Science"/>
    <n v="69"/>
    <x v="0"/>
    <s v="Yes"/>
    <n v="62"/>
    <s v="Mkt&amp;HR"/>
    <n v="62.36"/>
    <x v="1"/>
    <x v="0"/>
    <s v="High Priority"/>
    <n v="210000"/>
    <n v="210000"/>
  </r>
  <r>
    <n v="91"/>
    <s v="Female"/>
    <n v="85"/>
    <s v="Others"/>
    <n v="90"/>
    <s v="Others"/>
    <s v="Commerce"/>
    <n v="82"/>
    <x v="1"/>
    <s v="No"/>
    <n v="92"/>
    <s v="Mkt&amp;Fin"/>
    <n v="68.03"/>
    <x v="1"/>
    <x v="0"/>
    <s v="Standard"/>
    <n v="300000"/>
    <n v="315000"/>
  </r>
  <r>
    <n v="92"/>
    <s v="Male"/>
    <n v="52"/>
    <s v="Central"/>
    <n v="57"/>
    <s v="Central"/>
    <s v="Commerce"/>
    <n v="50.8"/>
    <x v="1"/>
    <s v="No"/>
    <n v="67"/>
    <s v="Mkt&amp;HR"/>
    <n v="62.79"/>
    <x v="1"/>
    <x v="1"/>
    <s v="Standard"/>
    <n v="0"/>
    <n v="0"/>
  </r>
  <r>
    <n v="93"/>
    <s v="Female"/>
    <n v="60.23"/>
    <s v="Central"/>
    <n v="69"/>
    <s v="Central"/>
    <s v="Science"/>
    <n v="66"/>
    <x v="1"/>
    <s v="No"/>
    <n v="72"/>
    <s v="Mkt&amp;Fin"/>
    <n v="59.47"/>
    <x v="0"/>
    <x v="0"/>
    <s v="Standard"/>
    <n v="230000"/>
    <n v="230000"/>
  </r>
  <r>
    <n v="94"/>
    <s v="Male"/>
    <n v="52"/>
    <s v="Central"/>
    <n v="62"/>
    <s v="Central"/>
    <s v="Commerce"/>
    <n v="54"/>
    <x v="1"/>
    <s v="No"/>
    <n v="72"/>
    <s v="Mkt&amp;HR"/>
    <n v="55.41"/>
    <x v="0"/>
    <x v="1"/>
    <s v="Standard"/>
    <n v="0"/>
    <n v="0"/>
  </r>
  <r>
    <n v="95"/>
    <s v="Male"/>
    <n v="58"/>
    <s v="Central"/>
    <n v="62"/>
    <s v="Central"/>
    <s v="Commerce"/>
    <n v="64"/>
    <x v="1"/>
    <s v="No"/>
    <n v="53.88"/>
    <s v="Mkt&amp;Fin"/>
    <n v="54.97"/>
    <x v="0"/>
    <x v="0"/>
    <s v="Standard"/>
    <n v="260000"/>
    <n v="260000"/>
  </r>
  <r>
    <n v="96"/>
    <s v="Male"/>
    <n v="73"/>
    <s v="Central"/>
    <n v="78"/>
    <s v="Others"/>
    <s v="Commerce"/>
    <n v="65"/>
    <x v="1"/>
    <s v="Yes"/>
    <n v="95.46"/>
    <s v="Mkt&amp;Fin"/>
    <n v="62.16"/>
    <x v="1"/>
    <x v="0"/>
    <s v="High Priority"/>
    <n v="420000"/>
    <n v="441000"/>
  </r>
  <r>
    <n v="97"/>
    <s v="Female"/>
    <n v="76"/>
    <s v="Central"/>
    <n v="70"/>
    <s v="Central"/>
    <s v="Science"/>
    <n v="76"/>
    <x v="1"/>
    <s v="Yes"/>
    <n v="66"/>
    <s v="Mkt&amp;Fin"/>
    <n v="64.44"/>
    <x v="1"/>
    <x v="0"/>
    <s v="High Priority"/>
    <n v="300000"/>
    <n v="300000"/>
  </r>
  <r>
    <n v="98"/>
    <s v="Female"/>
    <n v="70.5"/>
    <s v="Central"/>
    <n v="62.5"/>
    <s v="Others"/>
    <s v="Commerce"/>
    <n v="61"/>
    <x v="1"/>
    <s v="No"/>
    <n v="93.91"/>
    <s v="Mkt&amp;Fin"/>
    <n v="69.03"/>
    <x v="1"/>
    <x v="1"/>
    <s v="Standard"/>
    <n v="0"/>
    <n v="0"/>
  </r>
  <r>
    <n v="99"/>
    <s v="Female"/>
    <n v="69"/>
    <s v="Central"/>
    <n v="73"/>
    <s v="Central"/>
    <s v="Commerce"/>
    <n v="65"/>
    <x v="1"/>
    <s v="No"/>
    <n v="70"/>
    <s v="Mkt&amp;Fin"/>
    <n v="57.31"/>
    <x v="0"/>
    <x v="0"/>
    <s v="Standard"/>
    <n v="220000"/>
    <n v="220000"/>
  </r>
  <r>
    <n v="100"/>
    <s v="Male"/>
    <n v="54"/>
    <s v="Central"/>
    <n v="82"/>
    <s v="Others"/>
    <s v="Commerce"/>
    <n v="63"/>
    <x v="0"/>
    <s v="No"/>
    <n v="50"/>
    <s v="Mkt&amp;Fin"/>
    <n v="59.47"/>
    <x v="0"/>
    <x v="1"/>
    <s v="Standard"/>
    <n v="0"/>
    <n v="0"/>
  </r>
  <r>
    <n v="101"/>
    <s v="Female"/>
    <n v="45"/>
    <s v="Others"/>
    <n v="57"/>
    <s v="Others"/>
    <s v="Commerce"/>
    <n v="58"/>
    <x v="1"/>
    <s v="Yes"/>
    <n v="56.39"/>
    <s v="Mkt&amp;HR"/>
    <n v="64.95"/>
    <x v="1"/>
    <x v="1"/>
    <s v="High Priority"/>
    <n v="0"/>
    <n v="0"/>
  </r>
  <r>
    <n v="102"/>
    <s v="Male"/>
    <n v="63"/>
    <s v="Central"/>
    <n v="72"/>
    <s v="Central"/>
    <s v="Commerce"/>
    <n v="68"/>
    <x v="1"/>
    <s v="No"/>
    <n v="78"/>
    <s v="Mkt&amp;HR"/>
    <n v="60.44"/>
    <x v="1"/>
    <x v="0"/>
    <s v="Standard"/>
    <n v="380000"/>
    <n v="380000"/>
  </r>
  <r>
    <n v="103"/>
    <s v="Female"/>
    <n v="77"/>
    <s v="Others"/>
    <n v="61"/>
    <s v="Others"/>
    <s v="Commerce"/>
    <n v="68"/>
    <x v="1"/>
    <s v="Yes"/>
    <n v="57.5"/>
    <s v="Mkt&amp;Fin"/>
    <n v="61.31"/>
    <x v="1"/>
    <x v="0"/>
    <s v="High Priority"/>
    <n v="300000"/>
    <n v="300000"/>
  </r>
  <r>
    <n v="104"/>
    <s v="Male"/>
    <n v="73"/>
    <s v="Central"/>
    <n v="78"/>
    <s v="Central"/>
    <s v="Science"/>
    <n v="73"/>
    <x v="0"/>
    <s v="Yes"/>
    <n v="85"/>
    <s v="Mkt&amp;HR"/>
    <n v="65.83"/>
    <x v="1"/>
    <x v="0"/>
    <s v="High Priority"/>
    <n v="240000"/>
    <n v="240000"/>
  </r>
  <r>
    <n v="105"/>
    <s v="Male"/>
    <n v="69"/>
    <s v="Central"/>
    <n v="63"/>
    <s v="Others"/>
    <s v="Science"/>
    <n v="65"/>
    <x v="1"/>
    <s v="Yes"/>
    <n v="55"/>
    <s v="Mkt&amp;HR"/>
    <n v="58.23"/>
    <x v="0"/>
    <x v="0"/>
    <s v="High Priority"/>
    <n v="360000"/>
    <n v="360000"/>
  </r>
  <r>
    <n v="106"/>
    <s v="Male"/>
    <n v="59"/>
    <s v="Central"/>
    <n v="64"/>
    <s v="Others"/>
    <s v="Science"/>
    <n v="58"/>
    <x v="0"/>
    <s v="No"/>
    <n v="85"/>
    <s v="Mkt&amp;HR"/>
    <n v="55.3"/>
    <x v="0"/>
    <x v="1"/>
    <s v="Standard"/>
    <n v="0"/>
    <n v="0"/>
  </r>
  <r>
    <n v="107"/>
    <s v="Male"/>
    <n v="61.08"/>
    <s v="Others"/>
    <n v="50"/>
    <s v="Others"/>
    <s v="Science"/>
    <n v="54"/>
    <x v="0"/>
    <s v="No"/>
    <n v="71"/>
    <s v="Mkt&amp;Fin"/>
    <n v="65.69"/>
    <x v="1"/>
    <x v="1"/>
    <s v="Standard"/>
    <n v="0"/>
    <n v="0"/>
  </r>
  <r>
    <n v="108"/>
    <s v="Male"/>
    <n v="82"/>
    <s v="Others"/>
    <n v="90"/>
    <s v="Others"/>
    <s v="Commerce"/>
    <n v="83"/>
    <x v="1"/>
    <s v="No"/>
    <n v="80"/>
    <s v="Mkt&amp;HR"/>
    <n v="73.52"/>
    <x v="1"/>
    <x v="0"/>
    <s v="Standard"/>
    <n v="200000"/>
    <n v="200000"/>
  </r>
  <r>
    <n v="109"/>
    <s v="Male"/>
    <n v="61"/>
    <s v="Central"/>
    <n v="82"/>
    <s v="Central"/>
    <s v="Commerce"/>
    <n v="69"/>
    <x v="1"/>
    <s v="No"/>
    <n v="84"/>
    <s v="Mkt&amp;Fin"/>
    <n v="58.31"/>
    <x v="0"/>
    <x v="0"/>
    <s v="Standard"/>
    <n v="300000"/>
    <n v="300000"/>
  </r>
  <r>
    <n v="110"/>
    <s v="Male"/>
    <n v="52"/>
    <s v="Central"/>
    <n v="63"/>
    <s v="Others"/>
    <s v="Science"/>
    <n v="65"/>
    <x v="0"/>
    <s v="Yes"/>
    <n v="86"/>
    <s v="Mkt&amp;HR"/>
    <n v="56.09"/>
    <x v="0"/>
    <x v="1"/>
    <s v="High Priority"/>
    <n v="0"/>
    <n v="0"/>
  </r>
  <r>
    <n v="111"/>
    <s v="Female"/>
    <n v="69.5"/>
    <s v="Central"/>
    <n v="70"/>
    <s v="Central"/>
    <s v="Science"/>
    <n v="72"/>
    <x v="0"/>
    <s v="No"/>
    <n v="57.2"/>
    <s v="Mkt&amp;HR"/>
    <n v="54.8"/>
    <x v="0"/>
    <x v="0"/>
    <s v="Standard"/>
    <n v="250000"/>
    <n v="250000"/>
  </r>
  <r>
    <n v="112"/>
    <s v="Male"/>
    <n v="51"/>
    <s v="Others"/>
    <n v="54"/>
    <s v="Others"/>
    <s v="Science"/>
    <n v="61"/>
    <x v="0"/>
    <s v="No"/>
    <n v="60"/>
    <s v="Mkt&amp;HR"/>
    <n v="60.64"/>
    <x v="1"/>
    <x v="1"/>
    <s v="Standard"/>
    <n v="0"/>
    <n v="0"/>
  </r>
  <r>
    <n v="113"/>
    <s v="Male"/>
    <n v="58"/>
    <s v="Others"/>
    <n v="61"/>
    <s v="Others"/>
    <s v="Commerce"/>
    <n v="61"/>
    <x v="1"/>
    <s v="No"/>
    <n v="58"/>
    <s v="Mkt&amp;HR"/>
    <n v="53.94"/>
    <x v="0"/>
    <x v="0"/>
    <s v="Standard"/>
    <n v="250000"/>
    <n v="250000"/>
  </r>
  <r>
    <n v="114"/>
    <s v="Female"/>
    <n v="73.959999999999994"/>
    <s v="Others"/>
    <n v="79"/>
    <s v="Others"/>
    <s v="Commerce"/>
    <n v="67"/>
    <x v="1"/>
    <s v="No"/>
    <n v="72.150000000000006"/>
    <s v="Mkt&amp;Fin"/>
    <n v="63.08"/>
    <x v="1"/>
    <x v="0"/>
    <s v="Standard"/>
    <n v="280000"/>
    <n v="280000"/>
  </r>
  <r>
    <n v="115"/>
    <s v="Male"/>
    <n v="65"/>
    <s v="Central"/>
    <n v="68"/>
    <s v="Others"/>
    <s v="Science"/>
    <n v="69"/>
    <x v="1"/>
    <s v="No"/>
    <n v="53.7"/>
    <s v="Mkt&amp;HR"/>
    <n v="55.01"/>
    <x v="0"/>
    <x v="0"/>
    <s v="Standard"/>
    <n v="250000"/>
    <n v="250000"/>
  </r>
  <r>
    <n v="116"/>
    <s v="Female"/>
    <n v="73"/>
    <s v="Others"/>
    <n v="63"/>
    <s v="Others"/>
    <s v="Science"/>
    <n v="66"/>
    <x v="1"/>
    <s v="No"/>
    <n v="89"/>
    <s v="Mkt&amp;Fin"/>
    <n v="60.5"/>
    <x v="1"/>
    <x v="0"/>
    <s v="Standard"/>
    <n v="216000"/>
    <n v="216000"/>
  </r>
  <r>
    <n v="117"/>
    <s v="Male"/>
    <n v="68.2"/>
    <s v="Central"/>
    <n v="72.8"/>
    <s v="Central"/>
    <s v="Commerce"/>
    <n v="66.599999999999994"/>
    <x v="1"/>
    <s v="Yes"/>
    <n v="96"/>
    <s v="Mkt&amp;Fin"/>
    <n v="70.849999999999994"/>
    <x v="1"/>
    <x v="0"/>
    <s v="High Priority"/>
    <n v="300000"/>
    <n v="315000"/>
  </r>
  <r>
    <n v="118"/>
    <s v="Male"/>
    <n v="77"/>
    <s v="Others"/>
    <n v="75"/>
    <s v="Others"/>
    <s v="Science"/>
    <n v="73"/>
    <x v="0"/>
    <s v="No"/>
    <n v="80"/>
    <s v="Mkt&amp;Fin"/>
    <n v="67.05"/>
    <x v="1"/>
    <x v="0"/>
    <s v="Standard"/>
    <n v="240000"/>
    <n v="240000"/>
  </r>
  <r>
    <n v="119"/>
    <s v="Male"/>
    <n v="76"/>
    <s v="Central"/>
    <n v="80"/>
    <s v="Central"/>
    <s v="Science"/>
    <n v="78"/>
    <x v="0"/>
    <s v="Yes"/>
    <n v="97"/>
    <s v="Mkt&amp;HR"/>
    <n v="70.48"/>
    <x v="1"/>
    <x v="0"/>
    <s v="High Priority"/>
    <n v="276000"/>
    <n v="289800"/>
  </r>
  <r>
    <n v="120"/>
    <s v="Male"/>
    <n v="60.8"/>
    <s v="Central"/>
    <n v="68.400000000000006"/>
    <s v="Central"/>
    <s v="Commerce"/>
    <n v="64.599999999999994"/>
    <x v="1"/>
    <s v="Yes"/>
    <n v="82.66"/>
    <s v="Mkt&amp;Fin"/>
    <n v="64.34"/>
    <x v="1"/>
    <x v="0"/>
    <s v="High Priority"/>
    <n v="940000"/>
    <n v="940000"/>
  </r>
  <r>
    <n v="121"/>
    <s v="Male"/>
    <n v="58"/>
    <s v="Others"/>
    <n v="40"/>
    <s v="Others"/>
    <s v="Science"/>
    <n v="59"/>
    <x v="1"/>
    <s v="No"/>
    <n v="73"/>
    <s v="Mkt&amp;HR"/>
    <n v="58.81"/>
    <x v="0"/>
    <x v="1"/>
    <s v="Standard"/>
    <n v="0"/>
    <n v="0"/>
  </r>
  <r>
    <n v="122"/>
    <s v="Female"/>
    <n v="64"/>
    <s v="Central"/>
    <n v="67"/>
    <s v="Others"/>
    <s v="Science"/>
    <n v="69.599999999999994"/>
    <x v="0"/>
    <s v="Yes"/>
    <n v="55.67"/>
    <s v="Mkt&amp;HR"/>
    <n v="71.489999999999995"/>
    <x v="1"/>
    <x v="0"/>
    <s v="High Priority"/>
    <n v="250000"/>
    <n v="250000"/>
  </r>
  <r>
    <n v="123"/>
    <s v="Female"/>
    <n v="66.5"/>
    <s v="Central"/>
    <n v="66.8"/>
    <s v="Central"/>
    <s v="Arts"/>
    <n v="69.3"/>
    <x v="1"/>
    <s v="Yes"/>
    <n v="80.400000000000006"/>
    <s v="Mkt&amp;Fin"/>
    <n v="71"/>
    <x v="1"/>
    <x v="0"/>
    <s v="High Priority"/>
    <n v="236000"/>
    <n v="236000"/>
  </r>
  <r>
    <n v="124"/>
    <s v="Male"/>
    <n v="74"/>
    <s v="Others"/>
    <n v="59"/>
    <s v="Others"/>
    <s v="Commerce"/>
    <n v="73"/>
    <x v="1"/>
    <s v="Yes"/>
    <n v="60"/>
    <s v="Mkt&amp;HR"/>
    <n v="56.7"/>
    <x v="0"/>
    <x v="0"/>
    <s v="High Priority"/>
    <n v="240000"/>
    <n v="240000"/>
  </r>
  <r>
    <n v="125"/>
    <s v="Male"/>
    <n v="67"/>
    <s v="Central"/>
    <n v="71"/>
    <s v="Central"/>
    <s v="Science"/>
    <n v="64.33"/>
    <x v="2"/>
    <s v="Yes"/>
    <n v="64"/>
    <s v="Mkt&amp;HR"/>
    <n v="61.26"/>
    <x v="1"/>
    <x v="0"/>
    <s v="High Priority"/>
    <n v="250000"/>
    <n v="250000"/>
  </r>
  <r>
    <n v="126"/>
    <s v="Female"/>
    <n v="84"/>
    <s v="Central"/>
    <n v="73"/>
    <s v="Central"/>
    <s v="Commerce"/>
    <n v="73"/>
    <x v="1"/>
    <s v="No"/>
    <n v="75"/>
    <s v="Mkt&amp;Fin"/>
    <n v="73.33"/>
    <x v="1"/>
    <x v="0"/>
    <s v="Standard"/>
    <n v="350000"/>
    <n v="350000"/>
  </r>
  <r>
    <n v="127"/>
    <s v="Female"/>
    <n v="79"/>
    <s v="Others"/>
    <n v="61"/>
    <s v="Others"/>
    <s v="Science"/>
    <n v="75.5"/>
    <x v="0"/>
    <s v="Yes"/>
    <n v="70"/>
    <s v="Mkt&amp;Fin"/>
    <n v="68.2"/>
    <x v="1"/>
    <x v="0"/>
    <s v="High Priority"/>
    <n v="210000"/>
    <n v="210000"/>
  </r>
  <r>
    <n v="128"/>
    <s v="Female"/>
    <n v="72"/>
    <s v="Others"/>
    <n v="60"/>
    <s v="Others"/>
    <s v="Science"/>
    <n v="69"/>
    <x v="1"/>
    <s v="No"/>
    <n v="55.5"/>
    <s v="Mkt&amp;HR"/>
    <n v="58.4"/>
    <x v="0"/>
    <x v="0"/>
    <s v="Standard"/>
    <n v="250000"/>
    <n v="250000"/>
  </r>
  <r>
    <n v="129"/>
    <s v="Male"/>
    <n v="80.400000000000006"/>
    <s v="Central"/>
    <n v="73.400000000000006"/>
    <s v="Central"/>
    <s v="Science"/>
    <n v="77.72"/>
    <x v="0"/>
    <s v="Yes"/>
    <n v="81.2"/>
    <s v="Mkt&amp;HR"/>
    <n v="76.260000000000005"/>
    <x v="2"/>
    <x v="0"/>
    <s v="High Priority"/>
    <n v="400000"/>
    <n v="400000"/>
  </r>
  <r>
    <n v="130"/>
    <s v="Male"/>
    <n v="76.7"/>
    <s v="Central"/>
    <n v="89.7"/>
    <s v="Others"/>
    <s v="Commerce"/>
    <n v="66"/>
    <x v="1"/>
    <s v="Yes"/>
    <n v="90"/>
    <s v="Mkt&amp;Fin"/>
    <n v="68.55"/>
    <x v="1"/>
    <x v="0"/>
    <s v="High Priority"/>
    <n v="250000"/>
    <n v="250000"/>
  </r>
  <r>
    <n v="131"/>
    <s v="Male"/>
    <n v="62"/>
    <s v="Central"/>
    <n v="65"/>
    <s v="Others"/>
    <s v="Commerce"/>
    <n v="60"/>
    <x v="1"/>
    <s v="No"/>
    <n v="84"/>
    <s v="Mkt&amp;Fin"/>
    <n v="64.150000000000006"/>
    <x v="1"/>
    <x v="1"/>
    <s v="Standard"/>
    <n v="0"/>
    <n v="0"/>
  </r>
  <r>
    <n v="132"/>
    <s v="Female"/>
    <n v="74.900000000000006"/>
    <s v="Others"/>
    <n v="57"/>
    <s v="Others"/>
    <s v="Science"/>
    <n v="62"/>
    <x v="2"/>
    <s v="Yes"/>
    <n v="80"/>
    <s v="Mkt&amp;Fin"/>
    <n v="60.78"/>
    <x v="1"/>
    <x v="0"/>
    <s v="High Priority"/>
    <n v="360000"/>
    <n v="360000"/>
  </r>
  <r>
    <n v="133"/>
    <s v="Male"/>
    <n v="67"/>
    <s v="Others"/>
    <n v="68"/>
    <s v="Others"/>
    <s v="Commerce"/>
    <n v="64"/>
    <x v="1"/>
    <s v="Yes"/>
    <n v="74.400000000000006"/>
    <s v="Mkt&amp;HR"/>
    <n v="53.49"/>
    <x v="0"/>
    <x v="0"/>
    <s v="High Priority"/>
    <n v="300000"/>
    <n v="300000"/>
  </r>
  <r>
    <n v="134"/>
    <s v="Male"/>
    <n v="73"/>
    <s v="Central"/>
    <n v="64"/>
    <s v="Others"/>
    <s v="Commerce"/>
    <n v="77"/>
    <x v="1"/>
    <s v="Yes"/>
    <n v="65"/>
    <s v="Mkt&amp;HR"/>
    <n v="60.98"/>
    <x v="1"/>
    <x v="0"/>
    <s v="High Priority"/>
    <n v="250000"/>
    <n v="250000"/>
  </r>
  <r>
    <n v="135"/>
    <s v="Female"/>
    <n v="77.44"/>
    <s v="Central"/>
    <n v="92"/>
    <s v="Others"/>
    <s v="Commerce"/>
    <n v="72"/>
    <x v="1"/>
    <s v="Yes"/>
    <n v="94"/>
    <s v="Mkt&amp;Fin"/>
    <n v="67.13"/>
    <x v="1"/>
    <x v="0"/>
    <s v="High Priority"/>
    <n v="250000"/>
    <n v="262500"/>
  </r>
  <r>
    <n v="136"/>
    <s v="Female"/>
    <n v="72"/>
    <s v="Central"/>
    <n v="56"/>
    <s v="Others"/>
    <s v="Science"/>
    <n v="69"/>
    <x v="1"/>
    <s v="No"/>
    <n v="55.6"/>
    <s v="Mkt&amp;HR"/>
    <n v="65.63"/>
    <x v="1"/>
    <x v="0"/>
    <s v="Standard"/>
    <n v="200000"/>
    <n v="200000"/>
  </r>
  <r>
    <n v="137"/>
    <s v="Female"/>
    <n v="47"/>
    <s v="Central"/>
    <n v="59"/>
    <s v="Central"/>
    <s v="Arts"/>
    <n v="64"/>
    <x v="1"/>
    <s v="No"/>
    <n v="78"/>
    <s v="Mkt&amp;Fin"/>
    <n v="61.58"/>
    <x v="1"/>
    <x v="1"/>
    <s v="Standard"/>
    <n v="0"/>
    <n v="0"/>
  </r>
  <r>
    <n v="138"/>
    <s v="Male"/>
    <n v="67"/>
    <s v="Others"/>
    <n v="63"/>
    <s v="Central"/>
    <s v="Commerce"/>
    <n v="72"/>
    <x v="1"/>
    <s v="No"/>
    <n v="56"/>
    <s v="Mkt&amp;HR"/>
    <n v="60.41"/>
    <x v="1"/>
    <x v="0"/>
    <s v="Standard"/>
    <n v="225000"/>
    <n v="225000"/>
  </r>
  <r>
    <n v="139"/>
    <s v="Female"/>
    <n v="82"/>
    <s v="Others"/>
    <n v="64"/>
    <s v="Others"/>
    <s v="Science"/>
    <n v="73"/>
    <x v="0"/>
    <s v="Yes"/>
    <n v="96"/>
    <s v="Mkt&amp;Fin"/>
    <n v="71.77"/>
    <x v="1"/>
    <x v="0"/>
    <s v="High Priority"/>
    <n v="250000"/>
    <n v="262500"/>
  </r>
  <r>
    <n v="140"/>
    <s v="Male"/>
    <n v="77"/>
    <s v="Central"/>
    <n v="70"/>
    <s v="Central"/>
    <s v="Commerce"/>
    <n v="59"/>
    <x v="1"/>
    <s v="Yes"/>
    <n v="58"/>
    <s v="Mkt&amp;Fin"/>
    <n v="54.43"/>
    <x v="0"/>
    <x v="0"/>
    <s v="High Priority"/>
    <n v="220000"/>
    <n v="220000"/>
  </r>
  <r>
    <n v="141"/>
    <s v="Male"/>
    <n v="65"/>
    <s v="Central"/>
    <n v="64.8"/>
    <s v="Others"/>
    <s v="Commerce"/>
    <n v="69.5"/>
    <x v="1"/>
    <s v="Yes"/>
    <n v="56"/>
    <s v="Mkt&amp;Fin"/>
    <n v="56.94"/>
    <x v="0"/>
    <x v="0"/>
    <s v="High Priority"/>
    <n v="265000"/>
    <n v="265000"/>
  </r>
  <r>
    <n v="142"/>
    <s v="Male"/>
    <n v="66"/>
    <s v="Central"/>
    <n v="64"/>
    <s v="Central"/>
    <s v="Science"/>
    <n v="60"/>
    <x v="1"/>
    <s v="No"/>
    <n v="60"/>
    <s v="Mkt&amp;HR"/>
    <n v="61.9"/>
    <x v="1"/>
    <x v="1"/>
    <s v="Standard"/>
    <n v="0"/>
    <n v="0"/>
  </r>
  <r>
    <n v="143"/>
    <s v="Male"/>
    <n v="85"/>
    <s v="Central"/>
    <n v="60"/>
    <s v="Others"/>
    <s v="Science"/>
    <n v="73.430000000000007"/>
    <x v="0"/>
    <s v="Yes"/>
    <n v="60"/>
    <s v="Mkt&amp;Fin"/>
    <n v="61.29"/>
    <x v="1"/>
    <x v="0"/>
    <s v="High Priority"/>
    <n v="260000"/>
    <n v="260000"/>
  </r>
  <r>
    <n v="144"/>
    <s v="Male"/>
    <n v="77.67"/>
    <s v="Others"/>
    <n v="64.89"/>
    <s v="Others"/>
    <s v="Commerce"/>
    <n v="70.67"/>
    <x v="1"/>
    <s v="No"/>
    <n v="89"/>
    <s v="Mkt&amp;Fin"/>
    <n v="60.39"/>
    <x v="1"/>
    <x v="0"/>
    <s v="Standard"/>
    <n v="300000"/>
    <n v="300000"/>
  </r>
  <r>
    <n v="145"/>
    <s v="Male"/>
    <n v="52"/>
    <s v="Others"/>
    <n v="50"/>
    <s v="Others"/>
    <s v="Arts"/>
    <n v="61"/>
    <x v="1"/>
    <s v="No"/>
    <n v="60"/>
    <s v="Mkt&amp;Fin"/>
    <n v="58.52"/>
    <x v="0"/>
    <x v="1"/>
    <s v="Standard"/>
    <n v="0"/>
    <n v="0"/>
  </r>
  <r>
    <n v="146"/>
    <s v="Male"/>
    <n v="89.4"/>
    <s v="Others"/>
    <n v="65.66"/>
    <s v="Others"/>
    <s v="Science"/>
    <n v="71.25"/>
    <x v="0"/>
    <s v="No"/>
    <n v="72"/>
    <s v="Mkt&amp;HR"/>
    <n v="63.23"/>
    <x v="1"/>
    <x v="0"/>
    <s v="Standard"/>
    <n v="400000"/>
    <n v="400000"/>
  </r>
  <r>
    <n v="147"/>
    <s v="Male"/>
    <n v="62"/>
    <s v="Central"/>
    <n v="63"/>
    <s v="Others"/>
    <s v="Science"/>
    <n v="66"/>
    <x v="1"/>
    <s v="No"/>
    <n v="85"/>
    <s v="Mkt&amp;HR"/>
    <n v="55.14"/>
    <x v="0"/>
    <x v="0"/>
    <s v="Standard"/>
    <n v="233000"/>
    <n v="233000"/>
  </r>
  <r>
    <n v="148"/>
    <s v="Male"/>
    <n v="70"/>
    <s v="Central"/>
    <n v="74"/>
    <s v="Central"/>
    <s v="Commerce"/>
    <n v="65"/>
    <x v="1"/>
    <s v="No"/>
    <n v="83"/>
    <s v="Mkt&amp;Fin"/>
    <n v="62.28"/>
    <x v="1"/>
    <x v="0"/>
    <s v="Standard"/>
    <n v="300000"/>
    <n v="300000"/>
  </r>
  <r>
    <n v="149"/>
    <s v="Female"/>
    <n v="77"/>
    <s v="Central"/>
    <n v="86"/>
    <s v="Central"/>
    <s v="Arts"/>
    <n v="56"/>
    <x v="2"/>
    <s v="No"/>
    <n v="57"/>
    <s v="Mkt&amp;Fin"/>
    <n v="64.08"/>
    <x v="1"/>
    <x v="0"/>
    <s v="Standard"/>
    <n v="240000"/>
    <n v="240000"/>
  </r>
  <r>
    <n v="150"/>
    <s v="Male"/>
    <n v="44"/>
    <s v="Central"/>
    <n v="58"/>
    <s v="Central"/>
    <s v="Arts"/>
    <n v="55"/>
    <x v="1"/>
    <s v="Yes"/>
    <n v="64.25"/>
    <s v="Mkt&amp;HR"/>
    <n v="58.54"/>
    <x v="0"/>
    <x v="1"/>
    <s v="High Priority"/>
    <n v="0"/>
    <n v="0"/>
  </r>
  <r>
    <n v="151"/>
    <s v="Male"/>
    <n v="71"/>
    <s v="Central"/>
    <n v="58.66"/>
    <s v="Central"/>
    <s v="Science"/>
    <n v="58"/>
    <x v="0"/>
    <s v="Yes"/>
    <n v="56"/>
    <s v="Mkt&amp;Fin"/>
    <n v="61.3"/>
    <x v="1"/>
    <x v="0"/>
    <s v="High Priority"/>
    <n v="690000"/>
    <n v="690000"/>
  </r>
  <r>
    <n v="152"/>
    <s v="Male"/>
    <n v="65"/>
    <s v="Central"/>
    <n v="65"/>
    <s v="Central"/>
    <s v="Commerce"/>
    <n v="75"/>
    <x v="1"/>
    <s v="No"/>
    <n v="83"/>
    <s v="Mkt&amp;Fin"/>
    <n v="58.87"/>
    <x v="0"/>
    <x v="0"/>
    <s v="Standard"/>
    <n v="270000"/>
    <n v="270000"/>
  </r>
  <r>
    <n v="153"/>
    <s v="Female"/>
    <n v="75.400000000000006"/>
    <s v="Others"/>
    <n v="60.5"/>
    <s v="Central"/>
    <s v="Science"/>
    <n v="84"/>
    <x v="0"/>
    <s v="No"/>
    <n v="98"/>
    <s v="Mkt&amp;Fin"/>
    <n v="65.25"/>
    <x v="1"/>
    <x v="0"/>
    <s v="Standard"/>
    <n v="240000"/>
    <n v="252000"/>
  </r>
  <r>
    <n v="154"/>
    <s v="Male"/>
    <n v="49"/>
    <s v="Others"/>
    <n v="59"/>
    <s v="Others"/>
    <s v="Science"/>
    <n v="65"/>
    <x v="0"/>
    <s v="Yes"/>
    <n v="86"/>
    <s v="Mkt&amp;Fin"/>
    <n v="62.48"/>
    <x v="1"/>
    <x v="0"/>
    <s v="High Priority"/>
    <n v="340000"/>
    <n v="340000"/>
  </r>
  <r>
    <n v="155"/>
    <s v="Male"/>
    <n v="53"/>
    <s v="Central"/>
    <n v="63"/>
    <s v="Others"/>
    <s v="Science"/>
    <n v="60"/>
    <x v="1"/>
    <s v="Yes"/>
    <n v="70"/>
    <s v="Mkt&amp;Fin"/>
    <n v="53.2"/>
    <x v="0"/>
    <x v="0"/>
    <s v="High Priority"/>
    <n v="250000"/>
    <n v="250000"/>
  </r>
  <r>
    <n v="156"/>
    <s v="Male"/>
    <n v="51.57"/>
    <s v="Others"/>
    <n v="74.66"/>
    <s v="Others"/>
    <s v="Commerce"/>
    <n v="59.9"/>
    <x v="1"/>
    <s v="Yes"/>
    <n v="56.15"/>
    <s v="Mkt&amp;HR"/>
    <n v="65.989999999999995"/>
    <x v="1"/>
    <x v="1"/>
    <s v="High Priority"/>
    <n v="0"/>
    <n v="0"/>
  </r>
  <r>
    <n v="157"/>
    <s v="Male"/>
    <n v="84.2"/>
    <s v="Central"/>
    <n v="69.400000000000006"/>
    <s v="Central"/>
    <s v="Science"/>
    <n v="65"/>
    <x v="0"/>
    <s v="Yes"/>
    <n v="80"/>
    <s v="Mkt&amp;HR"/>
    <n v="52.72"/>
    <x v="0"/>
    <x v="0"/>
    <s v="High Priority"/>
    <n v="255000"/>
    <n v="255000"/>
  </r>
  <r>
    <n v="158"/>
    <s v="Male"/>
    <n v="66.5"/>
    <s v="Central"/>
    <n v="62.5"/>
    <s v="Central"/>
    <s v="Commerce"/>
    <n v="60.9"/>
    <x v="1"/>
    <s v="No"/>
    <n v="93.4"/>
    <s v="Mkt&amp;Fin"/>
    <n v="55.03"/>
    <x v="0"/>
    <x v="0"/>
    <s v="Standard"/>
    <n v="300000"/>
    <n v="315000"/>
  </r>
  <r>
    <n v="159"/>
    <s v="Male"/>
    <n v="67"/>
    <s v="Others"/>
    <n v="63"/>
    <s v="Others"/>
    <s v="Science"/>
    <n v="64"/>
    <x v="0"/>
    <s v="No"/>
    <n v="60"/>
    <s v="Mkt&amp;Fin"/>
    <n v="61.87"/>
    <x v="1"/>
    <x v="1"/>
    <s v="Standard"/>
    <n v="0"/>
    <n v="0"/>
  </r>
  <r>
    <n v="160"/>
    <s v="Male"/>
    <n v="52"/>
    <s v="Central"/>
    <n v="49"/>
    <s v="Others"/>
    <s v="Commerce"/>
    <n v="58"/>
    <x v="1"/>
    <s v="No"/>
    <n v="62"/>
    <s v="Mkt&amp;HR"/>
    <n v="60.59"/>
    <x v="1"/>
    <x v="1"/>
    <s v="Standard"/>
    <n v="0"/>
    <n v="0"/>
  </r>
  <r>
    <n v="161"/>
    <s v="Male"/>
    <n v="87"/>
    <s v="Central"/>
    <n v="74"/>
    <s v="Central"/>
    <s v="Science"/>
    <n v="65"/>
    <x v="0"/>
    <s v="Yes"/>
    <n v="75"/>
    <s v="Mkt&amp;HR"/>
    <n v="72.290000000000006"/>
    <x v="1"/>
    <x v="0"/>
    <s v="High Priority"/>
    <n v="300000"/>
    <n v="300000"/>
  </r>
  <r>
    <n v="162"/>
    <s v="Male"/>
    <n v="55.6"/>
    <s v="Others"/>
    <n v="51"/>
    <s v="Others"/>
    <s v="Commerce"/>
    <n v="57.5"/>
    <x v="1"/>
    <s v="No"/>
    <n v="57.63"/>
    <s v="Mkt&amp;HR"/>
    <n v="62.72"/>
    <x v="1"/>
    <x v="1"/>
    <s v="Standard"/>
    <n v="0"/>
    <n v="0"/>
  </r>
  <r>
    <n v="163"/>
    <s v="Male"/>
    <n v="74.2"/>
    <s v="Central"/>
    <n v="87.6"/>
    <s v="Others"/>
    <s v="Commerce"/>
    <n v="77.25"/>
    <x v="1"/>
    <s v="Yes"/>
    <n v="75.2"/>
    <s v="Mkt&amp;Fin"/>
    <n v="66.06"/>
    <x v="1"/>
    <x v="0"/>
    <s v="High Priority"/>
    <n v="285000"/>
    <n v="285000"/>
  </r>
  <r>
    <n v="164"/>
    <s v="Male"/>
    <n v="63"/>
    <s v="Others"/>
    <n v="67"/>
    <s v="Others"/>
    <s v="Science"/>
    <n v="64"/>
    <x v="0"/>
    <s v="No"/>
    <n v="75"/>
    <s v="Mkt&amp;Fin"/>
    <n v="66.459999999999994"/>
    <x v="1"/>
    <x v="0"/>
    <s v="Standard"/>
    <n v="500000"/>
    <n v="500000"/>
  </r>
  <r>
    <n v="165"/>
    <s v="Female"/>
    <n v="67.16"/>
    <s v="Central"/>
    <n v="72.5"/>
    <s v="Central"/>
    <s v="Commerce"/>
    <n v="63.35"/>
    <x v="1"/>
    <s v="No"/>
    <n v="53.04"/>
    <s v="Mkt&amp;Fin"/>
    <n v="65.52"/>
    <x v="1"/>
    <x v="0"/>
    <s v="Standard"/>
    <n v="250000"/>
    <n v="250000"/>
  </r>
  <r>
    <n v="166"/>
    <s v="Female"/>
    <n v="63.3"/>
    <s v="Central"/>
    <n v="78.33"/>
    <s v="Others"/>
    <s v="Commerce"/>
    <n v="74"/>
    <x v="1"/>
    <s v="No"/>
    <n v="80"/>
    <s v="Mkt&amp;Fin"/>
    <n v="74.56"/>
    <x v="1"/>
    <x v="1"/>
    <s v="Standard"/>
    <n v="0"/>
    <n v="0"/>
  </r>
  <r>
    <n v="167"/>
    <s v="Male"/>
    <n v="62"/>
    <s v="Others"/>
    <n v="62"/>
    <s v="Others"/>
    <s v="Commerce"/>
    <n v="60"/>
    <x v="1"/>
    <s v="Yes"/>
    <n v="63"/>
    <s v="Mkt&amp;HR"/>
    <n v="52.38"/>
    <x v="0"/>
    <x v="0"/>
    <s v="High Priority"/>
    <n v="240000"/>
    <n v="240000"/>
  </r>
  <r>
    <n v="168"/>
    <s v="Male"/>
    <n v="67.900000000000006"/>
    <s v="Others"/>
    <n v="62"/>
    <s v="Others"/>
    <s v="Science"/>
    <n v="67"/>
    <x v="0"/>
    <s v="Yes"/>
    <n v="58.1"/>
    <s v="Mkt&amp;Fin"/>
    <n v="75.709999999999994"/>
    <x v="2"/>
    <x v="1"/>
    <s v="High Priority"/>
    <n v="0"/>
    <n v="0"/>
  </r>
  <r>
    <n v="169"/>
    <s v="Female"/>
    <n v="48"/>
    <s v="Central"/>
    <n v="51"/>
    <s v="Central"/>
    <s v="Commerce"/>
    <n v="58"/>
    <x v="1"/>
    <s v="Yes"/>
    <n v="60"/>
    <s v="Mkt&amp;HR"/>
    <n v="58.79"/>
    <x v="0"/>
    <x v="1"/>
    <s v="High Priority"/>
    <n v="0"/>
    <n v="0"/>
  </r>
  <r>
    <n v="170"/>
    <s v="Male"/>
    <n v="59.96"/>
    <s v="Others"/>
    <n v="42.16"/>
    <s v="Others"/>
    <s v="Science"/>
    <n v="61.26"/>
    <x v="0"/>
    <s v="No"/>
    <n v="54.48"/>
    <s v="Mkt&amp;HR"/>
    <n v="65.48"/>
    <x v="1"/>
    <x v="1"/>
    <s v="Standard"/>
    <n v="0"/>
    <n v="0"/>
  </r>
  <r>
    <n v="171"/>
    <s v="Female"/>
    <n v="63.4"/>
    <s v="Others"/>
    <n v="67.2"/>
    <s v="Others"/>
    <s v="Commerce"/>
    <n v="60"/>
    <x v="1"/>
    <s v="No"/>
    <n v="58.06"/>
    <s v="Mkt&amp;HR"/>
    <n v="69.28"/>
    <x v="1"/>
    <x v="1"/>
    <s v="Standard"/>
    <n v="0"/>
    <n v="0"/>
  </r>
  <r>
    <n v="172"/>
    <s v="Male"/>
    <n v="80"/>
    <s v="Others"/>
    <n v="80"/>
    <s v="Others"/>
    <s v="Commerce"/>
    <n v="72"/>
    <x v="1"/>
    <s v="Yes"/>
    <n v="63.79"/>
    <s v="Mkt&amp;Fin"/>
    <n v="66.040000000000006"/>
    <x v="1"/>
    <x v="0"/>
    <s v="High Priority"/>
    <n v="290000"/>
    <n v="290000"/>
  </r>
  <r>
    <n v="173"/>
    <s v="Male"/>
    <n v="73"/>
    <s v="Others"/>
    <n v="58"/>
    <s v="Others"/>
    <s v="Commerce"/>
    <n v="56"/>
    <x v="1"/>
    <s v="No"/>
    <n v="84"/>
    <s v="Mkt&amp;HR"/>
    <n v="52.64"/>
    <x v="0"/>
    <x v="0"/>
    <s v="Standard"/>
    <n v="300000"/>
    <n v="300000"/>
  </r>
  <r>
    <n v="174"/>
    <s v="Female"/>
    <n v="52"/>
    <s v="Others"/>
    <n v="52"/>
    <s v="Others"/>
    <s v="Science"/>
    <n v="55"/>
    <x v="0"/>
    <s v="No"/>
    <n v="67"/>
    <s v="Mkt&amp;HR"/>
    <n v="59.32"/>
    <x v="0"/>
    <x v="1"/>
    <s v="Standard"/>
    <n v="0"/>
    <n v="0"/>
  </r>
  <r>
    <n v="175"/>
    <s v="Male"/>
    <n v="73.239999999999995"/>
    <s v="Others"/>
    <n v="50.83"/>
    <s v="Others"/>
    <s v="Science"/>
    <n v="64.27"/>
    <x v="0"/>
    <s v="Yes"/>
    <n v="64"/>
    <s v="Mkt&amp;Fin"/>
    <n v="66.23"/>
    <x v="1"/>
    <x v="0"/>
    <s v="High Priority"/>
    <n v="500000"/>
    <n v="500000"/>
  </r>
  <r>
    <n v="176"/>
    <s v="Male"/>
    <n v="63"/>
    <s v="Others"/>
    <n v="62"/>
    <s v="Others"/>
    <s v="Science"/>
    <n v="65"/>
    <x v="0"/>
    <s v="No"/>
    <n v="87.5"/>
    <s v="Mkt&amp;HR"/>
    <n v="60.69"/>
    <x v="1"/>
    <x v="1"/>
    <s v="Standard"/>
    <n v="0"/>
    <n v="0"/>
  </r>
  <r>
    <n v="177"/>
    <s v="Female"/>
    <n v="59"/>
    <s v="Central"/>
    <n v="60"/>
    <s v="Others"/>
    <s v="Commerce"/>
    <n v="56"/>
    <x v="1"/>
    <s v="No"/>
    <n v="55"/>
    <s v="Mkt&amp;HR"/>
    <n v="57.9"/>
    <x v="0"/>
    <x v="0"/>
    <s v="Standard"/>
    <n v="220000"/>
    <n v="220000"/>
  </r>
  <r>
    <n v="178"/>
    <s v="Female"/>
    <n v="73"/>
    <s v="Central"/>
    <n v="97"/>
    <s v="Others"/>
    <s v="Commerce"/>
    <n v="79"/>
    <x v="1"/>
    <s v="Yes"/>
    <n v="89"/>
    <s v="Mkt&amp;Fin"/>
    <n v="70.81"/>
    <x v="1"/>
    <x v="0"/>
    <s v="High Priority"/>
    <n v="650000"/>
    <n v="650000"/>
  </r>
  <r>
    <n v="179"/>
    <s v="Male"/>
    <n v="68"/>
    <s v="Others"/>
    <n v="56"/>
    <s v="Others"/>
    <s v="Science"/>
    <n v="68"/>
    <x v="0"/>
    <s v="No"/>
    <n v="73"/>
    <s v="Mkt&amp;HR"/>
    <n v="68.069999999999993"/>
    <x v="1"/>
    <x v="0"/>
    <s v="Standard"/>
    <n v="350000"/>
    <n v="350000"/>
  </r>
  <r>
    <n v="180"/>
    <s v="Female"/>
    <n v="77.8"/>
    <s v="Central"/>
    <n v="64"/>
    <s v="Central"/>
    <s v="Science"/>
    <n v="64.2"/>
    <x v="0"/>
    <s v="No"/>
    <n v="75.5"/>
    <s v="Mkt&amp;HR"/>
    <n v="72.14"/>
    <x v="1"/>
    <x v="1"/>
    <s v="Standard"/>
    <n v="0"/>
    <n v="0"/>
  </r>
  <r>
    <n v="181"/>
    <s v="Male"/>
    <n v="65"/>
    <s v="Central"/>
    <n v="71.5"/>
    <s v="Others"/>
    <s v="Commerce"/>
    <n v="62.8"/>
    <x v="1"/>
    <s v="Yes"/>
    <n v="57"/>
    <s v="Mkt&amp;Fin"/>
    <n v="56.6"/>
    <x v="0"/>
    <x v="0"/>
    <s v="High Priority"/>
    <n v="265000"/>
    <n v="265000"/>
  </r>
  <r>
    <n v="182"/>
    <s v="Male"/>
    <n v="62"/>
    <s v="Central"/>
    <n v="60.33"/>
    <s v="Others"/>
    <s v="Science"/>
    <n v="64.209999999999994"/>
    <x v="0"/>
    <s v="No"/>
    <n v="63"/>
    <s v="Mkt&amp;HR"/>
    <n v="60.02"/>
    <x v="1"/>
    <x v="1"/>
    <s v="Standard"/>
    <n v="0"/>
    <n v="0"/>
  </r>
  <r>
    <n v="183"/>
    <s v="Male"/>
    <n v="52"/>
    <s v="Others"/>
    <n v="65"/>
    <s v="Others"/>
    <s v="Arts"/>
    <n v="57"/>
    <x v="2"/>
    <s v="Yes"/>
    <n v="75"/>
    <s v="Mkt&amp;Fin"/>
    <n v="59.81"/>
    <x v="0"/>
    <x v="1"/>
    <s v="High Priority"/>
    <n v="0"/>
    <n v="0"/>
  </r>
  <r>
    <n v="184"/>
    <s v="Male"/>
    <n v="65"/>
    <s v="Central"/>
    <n v="77"/>
    <s v="Central"/>
    <s v="Commerce"/>
    <n v="69"/>
    <x v="1"/>
    <s v="No"/>
    <n v="60"/>
    <s v="Mkt&amp;HR"/>
    <n v="61.82"/>
    <x v="1"/>
    <x v="0"/>
    <s v="Standard"/>
    <n v="276000"/>
    <n v="276000"/>
  </r>
  <r>
    <n v="185"/>
    <s v="Female"/>
    <n v="56.28"/>
    <s v="Others"/>
    <n v="62.83"/>
    <s v="Others"/>
    <s v="Commerce"/>
    <n v="59.79"/>
    <x v="1"/>
    <s v="No"/>
    <n v="60"/>
    <s v="Mkt&amp;HR"/>
    <n v="57.29"/>
    <x v="0"/>
    <x v="1"/>
    <s v="Standard"/>
    <n v="0"/>
    <n v="0"/>
  </r>
  <r>
    <n v="186"/>
    <s v="Female"/>
    <n v="88"/>
    <s v="Central"/>
    <n v="72"/>
    <s v="Central"/>
    <s v="Science"/>
    <n v="78"/>
    <x v="2"/>
    <s v="No"/>
    <n v="82"/>
    <s v="Mkt&amp;HR"/>
    <n v="71.430000000000007"/>
    <x v="1"/>
    <x v="0"/>
    <s v="Standard"/>
    <n v="252000"/>
    <n v="252000"/>
  </r>
  <r>
    <n v="187"/>
    <s v="Female"/>
    <n v="52"/>
    <s v="Central"/>
    <n v="64"/>
    <s v="Central"/>
    <s v="Commerce"/>
    <n v="61"/>
    <x v="1"/>
    <s v="No"/>
    <n v="55"/>
    <s v="Mkt&amp;Fin"/>
    <n v="62.93"/>
    <x v="1"/>
    <x v="1"/>
    <s v="Standard"/>
    <n v="0"/>
    <n v="0"/>
  </r>
  <r>
    <n v="188"/>
    <s v="Male"/>
    <n v="78.5"/>
    <s v="Central"/>
    <n v="65.5"/>
    <s v="Central"/>
    <s v="Science"/>
    <n v="67"/>
    <x v="0"/>
    <s v="Yes"/>
    <n v="95"/>
    <s v="Mkt&amp;Fin"/>
    <n v="64.86"/>
    <x v="1"/>
    <x v="0"/>
    <s v="High Priority"/>
    <n v="280000"/>
    <n v="294000"/>
  </r>
  <r>
    <n v="189"/>
    <s v="Male"/>
    <n v="61.8"/>
    <s v="Others"/>
    <n v="47"/>
    <s v="Others"/>
    <s v="Commerce"/>
    <n v="54.38"/>
    <x v="1"/>
    <s v="No"/>
    <n v="57"/>
    <s v="Mkt&amp;Fin"/>
    <n v="56.13"/>
    <x v="0"/>
    <x v="1"/>
    <s v="Standard"/>
    <n v="0"/>
    <n v="0"/>
  </r>
  <r>
    <n v="190"/>
    <s v="Female"/>
    <n v="54"/>
    <s v="Central"/>
    <n v="77.599999999999994"/>
    <s v="Others"/>
    <s v="Commerce"/>
    <n v="69.2"/>
    <x v="1"/>
    <s v="No"/>
    <n v="95.65"/>
    <s v="Mkt&amp;Fin"/>
    <n v="66.94"/>
    <x v="1"/>
    <x v="1"/>
    <s v="Standard"/>
    <n v="0"/>
    <n v="0"/>
  </r>
  <r>
    <n v="191"/>
    <s v="Female"/>
    <n v="64"/>
    <s v="Others"/>
    <n v="70.2"/>
    <s v="Central"/>
    <s v="Commerce"/>
    <n v="61"/>
    <x v="1"/>
    <s v="No"/>
    <n v="50"/>
    <s v="Mkt&amp;Fin"/>
    <n v="62.5"/>
    <x v="1"/>
    <x v="1"/>
    <s v="Standard"/>
    <n v="0"/>
    <n v="0"/>
  </r>
  <r>
    <n v="192"/>
    <s v="Male"/>
    <n v="67"/>
    <s v="Others"/>
    <n v="61"/>
    <s v="Central"/>
    <s v="Science"/>
    <n v="72"/>
    <x v="1"/>
    <s v="No"/>
    <n v="72"/>
    <s v="Mkt&amp;Fin"/>
    <n v="61.01"/>
    <x v="1"/>
    <x v="0"/>
    <s v="Standard"/>
    <n v="264000"/>
    <n v="264000"/>
  </r>
  <r>
    <n v="193"/>
    <s v="Male"/>
    <n v="65.2"/>
    <s v="Central"/>
    <n v="61.4"/>
    <s v="Central"/>
    <s v="Commerce"/>
    <n v="64.8"/>
    <x v="1"/>
    <s v="Yes"/>
    <n v="93.4"/>
    <s v="Mkt&amp;Fin"/>
    <n v="57.34"/>
    <x v="0"/>
    <x v="0"/>
    <s v="High Priority"/>
    <n v="270000"/>
    <n v="283500"/>
  </r>
  <r>
    <n v="194"/>
    <s v="Female"/>
    <n v="60"/>
    <s v="Central"/>
    <n v="63"/>
    <s v="Central"/>
    <s v="Arts"/>
    <n v="56"/>
    <x v="2"/>
    <s v="Yes"/>
    <n v="80"/>
    <s v="Mkt&amp;HR"/>
    <n v="56.63"/>
    <x v="0"/>
    <x v="0"/>
    <s v="High Priority"/>
    <n v="300000"/>
    <n v="300000"/>
  </r>
  <r>
    <n v="195"/>
    <s v="Male"/>
    <n v="52"/>
    <s v="Others"/>
    <n v="55"/>
    <s v="Others"/>
    <s v="Commerce"/>
    <n v="56.3"/>
    <x v="1"/>
    <s v="No"/>
    <n v="59"/>
    <s v="Mkt&amp;Fin"/>
    <n v="64.739999999999995"/>
    <x v="1"/>
    <x v="1"/>
    <s v="Standard"/>
    <n v="0"/>
    <n v="0"/>
  </r>
  <r>
    <n v="196"/>
    <s v="Male"/>
    <n v="66"/>
    <s v="Central"/>
    <n v="76"/>
    <s v="Central"/>
    <s v="Commerce"/>
    <n v="72"/>
    <x v="1"/>
    <s v="Yes"/>
    <n v="84"/>
    <s v="Mkt&amp;HR"/>
    <n v="58.95"/>
    <x v="0"/>
    <x v="0"/>
    <s v="High Priority"/>
    <n v="275000"/>
    <n v="275000"/>
  </r>
  <r>
    <n v="197"/>
    <s v="Male"/>
    <n v="72"/>
    <s v="Others"/>
    <n v="63"/>
    <s v="Others"/>
    <s v="Science"/>
    <n v="77.5"/>
    <x v="0"/>
    <s v="Yes"/>
    <n v="78"/>
    <s v="Mkt&amp;Fin"/>
    <n v="54.48"/>
    <x v="0"/>
    <x v="0"/>
    <s v="High Priority"/>
    <n v="250000"/>
    <n v="250000"/>
  </r>
  <r>
    <n v="198"/>
    <s v="Female"/>
    <n v="83.96"/>
    <s v="Others"/>
    <n v="53"/>
    <s v="Others"/>
    <s v="Science"/>
    <n v="91"/>
    <x v="0"/>
    <s v="No"/>
    <n v="59.32"/>
    <s v="Mkt&amp;HR"/>
    <n v="69.709999999999994"/>
    <x v="1"/>
    <x v="0"/>
    <s v="Standard"/>
    <n v="260000"/>
    <n v="260000"/>
  </r>
  <r>
    <n v="199"/>
    <s v="Female"/>
    <n v="67"/>
    <s v="Central"/>
    <n v="70"/>
    <s v="Central"/>
    <s v="Commerce"/>
    <n v="65"/>
    <x v="2"/>
    <s v="No"/>
    <n v="88"/>
    <s v="Mkt&amp;HR"/>
    <n v="71.959999999999994"/>
    <x v="1"/>
    <x v="1"/>
    <s v="Standard"/>
    <n v="0"/>
    <n v="0"/>
  </r>
  <r>
    <n v="200"/>
    <s v="Male"/>
    <n v="69"/>
    <s v="Others"/>
    <n v="65"/>
    <s v="Others"/>
    <s v="Commerce"/>
    <n v="57"/>
    <x v="1"/>
    <s v="No"/>
    <n v="73"/>
    <s v="Mkt&amp;HR"/>
    <n v="55.8"/>
    <x v="0"/>
    <x v="0"/>
    <s v="Standard"/>
    <n v="265000"/>
    <n v="265000"/>
  </r>
  <r>
    <n v="201"/>
    <s v="Male"/>
    <n v="69"/>
    <s v="Others"/>
    <n v="60"/>
    <s v="Others"/>
    <s v="Commerce"/>
    <n v="65"/>
    <x v="1"/>
    <s v="No"/>
    <n v="87.55"/>
    <s v="Mkt&amp;Fin"/>
    <n v="52.81"/>
    <x v="0"/>
    <x v="0"/>
    <s v="Standard"/>
    <n v="300000"/>
    <n v="300000"/>
  </r>
  <r>
    <n v="202"/>
    <s v="Male"/>
    <n v="54.2"/>
    <s v="Central"/>
    <n v="63"/>
    <s v="Others"/>
    <s v="Science"/>
    <n v="58"/>
    <x v="1"/>
    <s v="No"/>
    <n v="79"/>
    <s v="Mkt&amp;HR"/>
    <n v="58.44"/>
    <x v="0"/>
    <x v="1"/>
    <s v="Standard"/>
    <n v="0"/>
    <n v="0"/>
  </r>
  <r>
    <n v="203"/>
    <s v="Male"/>
    <n v="70"/>
    <s v="Central"/>
    <n v="63"/>
    <s v="Central"/>
    <s v="Science"/>
    <n v="66"/>
    <x v="0"/>
    <s v="No"/>
    <n v="61.28"/>
    <s v="Mkt&amp;HR"/>
    <n v="60.11"/>
    <x v="1"/>
    <x v="0"/>
    <s v="Standard"/>
    <n v="240000"/>
    <n v="240000"/>
  </r>
  <r>
    <n v="204"/>
    <s v="Male"/>
    <n v="55.68"/>
    <s v="Others"/>
    <n v="61.33"/>
    <s v="Others"/>
    <s v="Commerce"/>
    <n v="56.87"/>
    <x v="1"/>
    <s v="No"/>
    <n v="66"/>
    <s v="Mkt&amp;HR"/>
    <n v="58.3"/>
    <x v="0"/>
    <x v="0"/>
    <s v="Standard"/>
    <n v="260000"/>
    <n v="260000"/>
  </r>
  <r>
    <n v="205"/>
    <s v="Female"/>
    <n v="74"/>
    <s v="Others"/>
    <n v="73"/>
    <s v="Others"/>
    <s v="Commerce"/>
    <n v="73"/>
    <x v="1"/>
    <s v="Yes"/>
    <n v="80"/>
    <s v="Mkt&amp;Fin"/>
    <n v="67.69"/>
    <x v="1"/>
    <x v="0"/>
    <s v="High Priority"/>
    <n v="210000"/>
    <n v="210000"/>
  </r>
  <r>
    <n v="206"/>
    <s v="Male"/>
    <n v="61"/>
    <s v="Others"/>
    <n v="62"/>
    <s v="Others"/>
    <s v="Commerce"/>
    <n v="65"/>
    <x v="1"/>
    <s v="No"/>
    <n v="62"/>
    <s v="Mkt&amp;Fin"/>
    <n v="56.81"/>
    <x v="0"/>
    <x v="0"/>
    <s v="Standard"/>
    <n v="250000"/>
    <n v="250000"/>
  </r>
  <r>
    <n v="207"/>
    <s v="Male"/>
    <n v="41"/>
    <s v="Central"/>
    <n v="42"/>
    <s v="Central"/>
    <s v="Science"/>
    <n v="60"/>
    <x v="1"/>
    <s v="No"/>
    <n v="97"/>
    <s v="Mkt&amp;Fin"/>
    <n v="53.39"/>
    <x v="0"/>
    <x v="1"/>
    <s v="Standard"/>
    <n v="0"/>
    <n v="0"/>
  </r>
  <r>
    <n v="208"/>
    <s v="Male"/>
    <n v="83.33"/>
    <s v="Central"/>
    <n v="78"/>
    <s v="Others"/>
    <s v="Commerce"/>
    <n v="61"/>
    <x v="1"/>
    <s v="Yes"/>
    <n v="88.56"/>
    <s v="Mkt&amp;Fin"/>
    <n v="71.55"/>
    <x v="1"/>
    <x v="0"/>
    <s v="High Priority"/>
    <n v="300000"/>
    <n v="300000"/>
  </r>
  <r>
    <n v="209"/>
    <s v="Female"/>
    <n v="43"/>
    <s v="Central"/>
    <n v="60"/>
    <s v="Others"/>
    <s v="Science"/>
    <n v="65"/>
    <x v="1"/>
    <s v="No"/>
    <n v="92.66"/>
    <s v="Mkt&amp;HR"/>
    <n v="62.92"/>
    <x v="1"/>
    <x v="1"/>
    <s v="Standard"/>
    <n v="0"/>
    <n v="0"/>
  </r>
  <r>
    <n v="210"/>
    <s v="Male"/>
    <n v="62"/>
    <s v="Central"/>
    <n v="72"/>
    <s v="Central"/>
    <s v="Commerce"/>
    <n v="65"/>
    <x v="1"/>
    <s v="No"/>
    <n v="67"/>
    <s v="Mkt&amp;Fin"/>
    <n v="56.49"/>
    <x v="0"/>
    <x v="0"/>
    <s v="Standard"/>
    <n v="216000"/>
    <n v="216000"/>
  </r>
  <r>
    <n v="211"/>
    <s v="Male"/>
    <n v="80.599999999999994"/>
    <s v="Others"/>
    <n v="82"/>
    <s v="Others"/>
    <s v="Commerce"/>
    <n v="77.599999999999994"/>
    <x v="1"/>
    <s v="No"/>
    <n v="91"/>
    <s v="Mkt&amp;Fin"/>
    <n v="74.489999999999995"/>
    <x v="1"/>
    <x v="0"/>
    <s v="Standard"/>
    <n v="400000"/>
    <n v="420000"/>
  </r>
  <r>
    <n v="212"/>
    <s v="Male"/>
    <n v="58"/>
    <s v="Others"/>
    <n v="60"/>
    <s v="Others"/>
    <s v="Science"/>
    <n v="72"/>
    <x v="0"/>
    <s v="No"/>
    <n v="74"/>
    <s v="Mkt&amp;Fin"/>
    <n v="53.62"/>
    <x v="0"/>
    <x v="0"/>
    <s v="Standard"/>
    <n v="275000"/>
    <n v="275000"/>
  </r>
  <r>
    <n v="213"/>
    <s v="Male"/>
    <n v="67"/>
    <s v="Others"/>
    <n v="67"/>
    <s v="Others"/>
    <s v="Commerce"/>
    <n v="73"/>
    <x v="1"/>
    <s v="Yes"/>
    <n v="59"/>
    <s v="Mkt&amp;Fin"/>
    <n v="69.72"/>
    <x v="1"/>
    <x v="0"/>
    <s v="High Priority"/>
    <n v="295000"/>
    <n v="295000"/>
  </r>
  <r>
    <n v="214"/>
    <s v="Female"/>
    <n v="74"/>
    <s v="Others"/>
    <n v="66"/>
    <s v="Others"/>
    <s v="Commerce"/>
    <n v="58"/>
    <x v="1"/>
    <s v="No"/>
    <n v="70"/>
    <s v="Mkt&amp;HR"/>
    <n v="60.23"/>
    <x v="1"/>
    <x v="0"/>
    <s v="Standard"/>
    <n v="204000"/>
    <n v="204000"/>
  </r>
  <r>
    <n v="215"/>
    <s v="Male"/>
    <n v="62"/>
    <s v="Central"/>
    <n v="58"/>
    <s v="Others"/>
    <s v="Science"/>
    <n v="53"/>
    <x v="1"/>
    <s v="No"/>
    <n v="89"/>
    <s v="Mkt&amp;HR"/>
    <n v="60.22"/>
    <x v="1"/>
    <x v="1"/>
    <s v="Standard"/>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4F1FB0-94C5-442A-8DA3-5AF5AEAE5374}" name="PivotTable25"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E7" firstHeaderRow="1" firstDataRow="2" firstDataCol="1"/>
  <pivotFields count="18">
    <pivotField showAll="0"/>
    <pivotField showAll="0"/>
    <pivotField numFmtId="164" showAll="0"/>
    <pivotField showAll="0"/>
    <pivotField numFmtId="164" showAll="0"/>
    <pivotField showAll="0"/>
    <pivotField showAll="0"/>
    <pivotField numFmtId="164" showAll="0"/>
    <pivotField showAll="0"/>
    <pivotField showAll="0"/>
    <pivotField numFmtId="164" showAll="0"/>
    <pivotField showAll="0"/>
    <pivotField numFmtId="164" showAll="0"/>
    <pivotField axis="axisCol" dataField="1" showAll="0">
      <items count="4">
        <item x="2"/>
        <item x="1"/>
        <item x="0"/>
        <item t="default"/>
      </items>
    </pivotField>
    <pivotField axis="axisRow" showAll="0">
      <items count="3">
        <item x="1"/>
        <item x="0"/>
        <item t="default"/>
      </items>
    </pivotField>
    <pivotField showAll="0"/>
    <pivotField numFmtId="165" showAll="0"/>
    <pivotField showAll="0"/>
  </pivotFields>
  <rowFields count="1">
    <field x="14"/>
  </rowFields>
  <rowItems count="3">
    <i>
      <x/>
    </i>
    <i>
      <x v="1"/>
    </i>
    <i t="grand">
      <x/>
    </i>
  </rowItems>
  <colFields count="1">
    <field x="13"/>
  </colFields>
  <colItems count="4">
    <i>
      <x/>
    </i>
    <i>
      <x v="1"/>
    </i>
    <i>
      <x v="2"/>
    </i>
    <i t="grand">
      <x/>
    </i>
  </colItems>
  <dataFields count="1">
    <dataField name="Count of Grade" fld="13" subtotal="count" baseField="0" baseItem="0"/>
  </dataFields>
  <chartFormats count="3">
    <chartFormat chart="3" format="6" series="1">
      <pivotArea type="data" outline="0" fieldPosition="0">
        <references count="2">
          <reference field="4294967294" count="1" selected="0">
            <x v="0"/>
          </reference>
          <reference field="13" count="1" selected="0">
            <x v="0"/>
          </reference>
        </references>
      </pivotArea>
    </chartFormat>
    <chartFormat chart="3" format="7" series="1">
      <pivotArea type="data" outline="0" fieldPosition="0">
        <references count="2">
          <reference field="4294967294" count="1" selected="0">
            <x v="0"/>
          </reference>
          <reference field="13" count="1" selected="0">
            <x v="1"/>
          </reference>
        </references>
      </pivotArea>
    </chartFormat>
    <chartFormat chart="3"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6879F2-7BC8-4376-89D9-D09FFE172B9D}" name="Placement_status_on_previous_experience"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D7" firstHeaderRow="1" firstDataRow="2" firstDataCol="1"/>
  <pivotFields count="17">
    <pivotField showAll="0"/>
    <pivotField showAll="0"/>
    <pivotField numFmtId="164" showAll="0"/>
    <pivotField showAll="0"/>
    <pivotField numFmtId="164" showAll="0"/>
    <pivotField showAll="0"/>
    <pivotField showAll="0">
      <items count="4">
        <item x="2"/>
        <item x="0"/>
        <item x="1"/>
        <item t="default"/>
      </items>
    </pivotField>
    <pivotField numFmtId="164" showAll="0"/>
    <pivotField showAll="0"/>
    <pivotField axis="axisRow" showAll="0" sortType="descending">
      <items count="3">
        <item x="1"/>
        <item x="0"/>
        <item t="default"/>
      </items>
    </pivotField>
    <pivotField numFmtId="164" showAll="0"/>
    <pivotField axis="axisCol" showAll="0">
      <items count="3">
        <item x="1"/>
        <item x="0"/>
        <item t="default"/>
      </items>
    </pivotField>
    <pivotField numFmtId="164" showAll="0"/>
    <pivotField showAll="0"/>
    <pivotField showAll="0">
      <items count="3">
        <item x="1"/>
        <item x="0"/>
        <item t="default"/>
      </items>
    </pivotField>
    <pivotField dataField="1" showAll="0">
      <items count="3">
        <item x="1"/>
        <item x="0"/>
        <item t="default"/>
      </items>
    </pivotField>
    <pivotField numFmtId="165" showAll="0"/>
  </pivotFields>
  <rowFields count="1">
    <field x="9"/>
  </rowFields>
  <rowItems count="3">
    <i>
      <x/>
    </i>
    <i>
      <x v="1"/>
    </i>
    <i t="grand">
      <x/>
    </i>
  </rowItems>
  <colFields count="1">
    <field x="11"/>
  </colFields>
  <colItems count="3">
    <i>
      <x/>
    </i>
    <i>
      <x v="1"/>
    </i>
    <i t="grand">
      <x/>
    </i>
  </colItems>
  <dataFields count="1">
    <dataField name="Count of Placement status" fld="15" subtotal="count" baseField="9" baseItem="0"/>
  </dataFields>
  <chartFormats count="3">
    <chartFormat chart="3" format="4" series="1">
      <pivotArea type="data" outline="0" fieldPosition="0">
        <references count="2">
          <reference field="4294967294" count="1" selected="0">
            <x v="0"/>
          </reference>
          <reference field="11" count="1" selected="0">
            <x v="0"/>
          </reference>
        </references>
      </pivotArea>
    </chartFormat>
    <chartFormat chart="3" format="5" series="1">
      <pivotArea type="data" outline="0" fieldPosition="0">
        <references count="2">
          <reference field="4294967294" count="1" selected="0">
            <x v="0"/>
          </reference>
          <reference field="11" count="1" selected="0">
            <x v="1"/>
          </reference>
        </references>
      </pivotArea>
    </chartFormat>
    <chartFormat chart="3" format="6">
      <pivotArea type="data" outline="0" fieldPosition="0">
        <references count="3">
          <reference field="4294967294" count="1" selected="0">
            <x v="0"/>
          </reference>
          <reference field="9"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F6D990-F371-4756-B0C2-C02D7C21A8D0}" name="Placement_asper_department"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D8" firstHeaderRow="1" firstDataRow="2" firstDataCol="1"/>
  <pivotFields count="17">
    <pivotField showAll="0"/>
    <pivotField showAll="0"/>
    <pivotField numFmtId="164" showAll="0"/>
    <pivotField showAll="0"/>
    <pivotField numFmtId="164" showAll="0"/>
    <pivotField showAll="0"/>
    <pivotField axis="axisRow" showAll="0">
      <items count="4">
        <item x="2"/>
        <item x="0"/>
        <item x="1"/>
        <item t="default"/>
      </items>
    </pivotField>
    <pivotField numFmtId="164" showAll="0"/>
    <pivotField showAll="0"/>
    <pivotField showAll="0"/>
    <pivotField numFmtId="164" showAll="0"/>
    <pivotField showAll="0"/>
    <pivotField numFmtId="164" showAll="0"/>
    <pivotField showAll="0"/>
    <pivotField axis="axisCol" dataField="1" showAll="0">
      <items count="3">
        <item x="1"/>
        <item x="0"/>
        <item t="default"/>
      </items>
    </pivotField>
    <pivotField showAll="0"/>
    <pivotField numFmtId="165" showAll="0"/>
  </pivotFields>
  <rowFields count="1">
    <field x="6"/>
  </rowFields>
  <rowItems count="4">
    <i>
      <x/>
    </i>
    <i>
      <x v="1"/>
    </i>
    <i>
      <x v="2"/>
    </i>
    <i t="grand">
      <x/>
    </i>
  </rowItems>
  <colFields count="1">
    <field x="14"/>
  </colFields>
  <colItems count="3">
    <i>
      <x/>
    </i>
    <i>
      <x v="1"/>
    </i>
    <i t="grand">
      <x/>
    </i>
  </colItems>
  <dataFields count="1">
    <dataField name="Count of Status" fld="14" subtotal="count" baseField="0" baseItem="0"/>
  </dataFields>
  <chartFormats count="4">
    <chartFormat chart="0" format="7" series="1">
      <pivotArea type="data" outline="0" fieldPosition="0">
        <references count="1">
          <reference field="14" count="1" selected="0">
            <x v="1"/>
          </reference>
        </references>
      </pivotArea>
    </chartFormat>
    <chartFormat chart="0" format="8" series="1">
      <pivotArea type="data" outline="0" fieldPosition="0">
        <references count="1">
          <reference field="14" count="1" selected="0">
            <x v="0"/>
          </reference>
        </references>
      </pivotArea>
    </chartFormat>
    <chartFormat chart="3" format="11" series="1">
      <pivotArea type="data" outline="0" fieldPosition="0">
        <references count="2">
          <reference field="4294967294" count="1" selected="0">
            <x v="0"/>
          </reference>
          <reference field="14" count="1" selected="0">
            <x v="0"/>
          </reference>
        </references>
      </pivotArea>
    </chartFormat>
    <chartFormat chart="3" format="12"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7A07D-5FAB-4BDA-84E5-990DC17ACBB1}" name="Number_Of_student_per_department"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7">
    <pivotField showAll="0"/>
    <pivotField showAll="0"/>
    <pivotField numFmtId="164" showAll="0"/>
    <pivotField showAll="0"/>
    <pivotField numFmtId="164" showAll="0"/>
    <pivotField showAll="0"/>
    <pivotField axis="axisRow" dataField="1" showAll="0">
      <items count="4">
        <item x="2"/>
        <item x="0"/>
        <item x="1"/>
        <item t="default"/>
      </items>
    </pivotField>
    <pivotField numFmtId="164" showAll="0"/>
    <pivotField showAll="0"/>
    <pivotField showAll="0"/>
    <pivotField numFmtId="164" showAll="0"/>
    <pivotField showAll="0"/>
    <pivotField numFmtId="164" showAll="0"/>
    <pivotField showAll="0"/>
    <pivotField showAll="0">
      <items count="3">
        <item x="1"/>
        <item x="0"/>
        <item t="default"/>
      </items>
    </pivotField>
    <pivotField showAll="0">
      <items count="3">
        <item x="1"/>
        <item x="0"/>
        <item t="default"/>
      </items>
    </pivotField>
    <pivotField numFmtId="165" showAll="0"/>
  </pivotFields>
  <rowFields count="1">
    <field x="6"/>
  </rowFields>
  <rowItems count="4">
    <i>
      <x/>
    </i>
    <i>
      <x v="1"/>
    </i>
    <i>
      <x v="2"/>
    </i>
    <i t="grand">
      <x/>
    </i>
  </rowItems>
  <colItems count="1">
    <i/>
  </colItems>
  <dataFields count="1">
    <dataField name="Count of Hsc_S" fld="6" subtotal="count" baseField="0" baseItem="0"/>
  </dataFields>
  <chartFormats count="1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1"/>
          </reference>
        </references>
      </pivotArea>
    </chartFormat>
    <chartFormat chart="0" format="2">
      <pivotArea type="data" outline="0" fieldPosition="0">
        <references count="2">
          <reference field="4294967294" count="1" selected="0">
            <x v="0"/>
          </reference>
          <reference field="6" count="1" selected="0">
            <x v="2"/>
          </reference>
        </references>
      </pivotArea>
    </chartFormat>
    <chartFormat chart="0" format="3">
      <pivotArea type="data" outline="0" fieldPosition="0">
        <references count="2">
          <reference field="4294967294" count="1" selected="0">
            <x v="0"/>
          </reference>
          <reference field="6" count="1" selected="0">
            <x v="0"/>
          </reference>
        </references>
      </pivotArea>
    </chartFormat>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6" count="1" selected="0">
            <x v="0"/>
          </reference>
        </references>
      </pivotArea>
    </chartFormat>
    <chartFormat chart="1" format="6">
      <pivotArea type="data" outline="0" fieldPosition="0">
        <references count="2">
          <reference field="4294967294" count="1" selected="0">
            <x v="0"/>
          </reference>
          <reference field="6" count="1" selected="0">
            <x v="1"/>
          </reference>
        </references>
      </pivotArea>
    </chartFormat>
    <chartFormat chart="1" format="7">
      <pivotArea type="data" outline="0" fieldPosition="0">
        <references count="2">
          <reference field="4294967294" count="1" selected="0">
            <x v="0"/>
          </reference>
          <reference field="6"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2" format="11">
      <pivotArea type="data" outline="0" fieldPosition="0">
        <references count="2">
          <reference field="4294967294" count="1" selected="0">
            <x v="0"/>
          </reference>
          <reference field="6"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6" count="1" selected="0">
            <x v="0"/>
          </reference>
        </references>
      </pivotArea>
    </chartFormat>
    <chartFormat chart="3" format="10">
      <pivotArea type="data" outline="0" fieldPosition="0">
        <references count="2">
          <reference field="4294967294" count="1" selected="0">
            <x v="0"/>
          </reference>
          <reference field="6" count="1" selected="0">
            <x v="1"/>
          </reference>
        </references>
      </pivotArea>
    </chartFormat>
    <chartFormat chart="3"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sc_S" xr10:uid="{7DD19FCC-5657-433C-AD9B-10C1B316522A}" sourceName="Hsc_S">
  <pivotTables>
    <pivotTable tabId="7" name="Number_Of_student_per_department"/>
    <pivotTable tabId="6" name="Placement_asper_department"/>
    <pivotTable tabId="9" name="Placement_status_on_previous_experience"/>
  </pivotTables>
  <data>
    <tabular pivotCacheId="1864501805">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DA65244A-909F-42EB-9E84-853388FFFA64}" sourceName="Status">
  <pivotTables>
    <pivotTable tabId="7" name="Number_Of_student_per_department"/>
    <pivotTable tabId="6" name="Placement_asper_department"/>
    <pivotTable tabId="9" name="Placement_status_on_previous_experience"/>
  </pivotTables>
  <data>
    <tabular pivotCacheId="186450180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CB866E64-7339-462B-997D-2B3D6747A6CF}" sourceName="Grade">
  <pivotTables>
    <pivotTable tabId="10" name="PivotTable25"/>
  </pivotTables>
  <data>
    <tabular pivotCacheId="1224846842">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1" xr10:uid="{E4AB25DF-856D-4088-ABAD-14BBCB1AEE91}" sourceName="Status">
  <pivotTables>
    <pivotTable tabId="10" name="PivotTable25"/>
  </pivotTables>
  <data>
    <tabular pivotCacheId="122484684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sc_S" xr10:uid="{48D888E7-C636-4F81-A379-85B46BC0C3C3}" cache="Slicer_Hsc_S" caption="Hsc_S" columnCount="3" style="SlicerStyleDark4" rowHeight="273050"/>
  <slicer name="Status" xr10:uid="{7E8B6C27-D3BF-4C81-B29E-9CB31F19CC7A}" cache="Slicer_Status" caption="Status" columnCount="2" style="SlicerStyleDark4" rowHeight="273050"/>
  <slicer name="Grade" xr10:uid="{22C7C434-3FC6-45B3-ABF4-CED56E983347}" cache="Slicer_Grade" caption="Grade" columnCount="3" style="SlicerStyleDark4" rowHeight="273050"/>
  <slicer name="Status 1" xr10:uid="{9B259BC0-2713-4927-A9D3-022BE3A71EF5}" cache="Slicer_Status1" caption="Status" columnCount="2" style="SlicerStyleDark4"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D167F2-3882-4DE6-83F3-7E7D9AF42E01}" name="Table1" displayName="Table1" ref="A1:R216" totalsRowShown="0" headerRowDxfId="15" dataDxfId="16" tableBorderDxfId="35">
  <autoFilter ref="A1:R216" xr:uid="{1ED167F2-3882-4DE6-83F3-7E7D9AF42E01}"/>
  <tableColumns count="18">
    <tableColumn id="1" xr3:uid="{0603BE1C-7ACE-435E-88F5-8FADEA38608D}" name="Sl_No" dataDxfId="34"/>
    <tableColumn id="2" xr3:uid="{AD2B9493-F927-47A4-9011-ECF4E0E9A775}" name="Gender " dataDxfId="33"/>
    <tableColumn id="3" xr3:uid="{C2F0AA12-4AAD-4AA6-91B9-59888EDB9677}" name="Ssc_P" dataDxfId="32"/>
    <tableColumn id="4" xr3:uid="{923A96D7-EE8A-4B36-BC1A-FB8C12B2612C}" name="Ssc_B" dataDxfId="31"/>
    <tableColumn id="5" xr3:uid="{C0FC9913-2C8E-461B-BE0E-017844990BC3}" name="Hsc_P" dataDxfId="30" dataCellStyle="Percent"/>
    <tableColumn id="6" xr3:uid="{28A04074-29E5-4776-81E2-E96F07A49E67}" name="Hsc_B" dataDxfId="29"/>
    <tableColumn id="7" xr3:uid="{A06E57E1-2002-4C15-8DA4-9BD9A2C18F0C}" name="Hsc_S" dataDxfId="28"/>
    <tableColumn id="8" xr3:uid="{04AAB2C5-7C33-402A-87D1-9A0D98C973CA}" name="Degree_P" dataDxfId="27"/>
    <tableColumn id="9" xr3:uid="{3D11117B-C2CF-4A99-B4C4-5C7352D97776}" name="Degree_T" dataDxfId="26"/>
    <tableColumn id="10" xr3:uid="{5A554244-D8B6-4ADE-93D4-B0580CE30D5F}" name="Workex" dataDxfId="25"/>
    <tableColumn id="11" xr3:uid="{64FF4F62-63CC-47F3-A1F4-B925FD497209}" name="Etest_P" dataDxfId="24"/>
    <tableColumn id="12" xr3:uid="{CB730AF1-5E52-407B-8ED1-1B51D687D1E8}" name="Specialisation" dataDxfId="23"/>
    <tableColumn id="13" xr3:uid="{76C1042D-D365-4B90-BEA6-A2CE14BAE068}" name="Mba_P" dataDxfId="22"/>
    <tableColumn id="14" xr3:uid="{86664A77-2D07-436C-A8B0-D1359F822B62}" name="Grade" dataDxfId="21">
      <calculatedColumnFormula>IF(M2&gt;75,"Distinction",IF(M2&gt;60,"First Class","Pass"))</calculatedColumnFormula>
    </tableColumn>
    <tableColumn id="15" xr3:uid="{662A0E2A-D15F-4027-8477-A043405A0010}" name="Status" dataDxfId="20"/>
    <tableColumn id="16" xr3:uid="{69E8BDA4-E56C-4A38-AE5C-CDD22D51B025}" name="Priority" dataDxfId="19">
      <calculatedColumnFormula>IF(AND(Placement_Data_Full_Class!$J2="Yes",Placement_Data_Full_Class!$H2&gt;70%),"High Priority", "Standard")</calculatedColumnFormula>
    </tableColumn>
    <tableColumn id="17" xr3:uid="{41143DDA-F965-49BF-900A-283B6D6C9F22}" name="Adjusted Salary " dataDxfId="18"/>
    <tableColumn id="18" xr3:uid="{B8D75CB8-496E-4E13-948B-646829209E49}" name="Salary with potential Sign-up Bonus" dataDxfId="17">
      <calculatedColumnFormula>IF(Placement_Data_Full_Class!$K2&gt;90,Placement_Data_Full_Class!$Q2+(Placement_Data_Full_Class!$Q2*5%),Placement_Data_Full_Class!$Q2)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2733A-D3D3-4B6D-8ABA-13F3DF5ED384}">
  <sheetPr>
    <tabColor rgb="FFFFFF00"/>
  </sheetPr>
  <dimension ref="A1:R216"/>
  <sheetViews>
    <sheetView topLeftCell="F1" workbookViewId="0">
      <selection activeCell="P1" sqref="P1:P1048576"/>
    </sheetView>
  </sheetViews>
  <sheetFormatPr defaultRowHeight="16.8" x14ac:dyDescent="0.3"/>
  <cols>
    <col min="1" max="1" width="7.7265625" bestFit="1" customWidth="1"/>
    <col min="2" max="2" width="9.26953125" customWidth="1"/>
    <col min="3" max="3" width="7.453125" customWidth="1"/>
    <col min="4" max="4" width="7.54296875" customWidth="1"/>
    <col min="5" max="5" width="7.90625" customWidth="1"/>
    <col min="6" max="6" width="8" customWidth="1"/>
    <col min="7" max="7" width="9.453125" bestFit="1" customWidth="1"/>
    <col min="8" max="8" width="10.6328125" customWidth="1"/>
    <col min="9" max="9" width="12.26953125" bestFit="1" customWidth="1"/>
    <col min="10" max="10" width="9.1796875" customWidth="1"/>
    <col min="11" max="11" width="9" customWidth="1"/>
    <col min="12" max="12" width="14.08984375" customWidth="1"/>
    <col min="13" max="13" width="8.81640625" bestFit="1" customWidth="1"/>
    <col min="14" max="14" width="9.54296875" customWidth="1"/>
    <col min="15" max="15" width="9.7265625" bestFit="1" customWidth="1"/>
    <col min="16" max="16" width="11.08984375" bestFit="1" customWidth="1"/>
    <col min="17" max="17" width="16.453125" style="1" customWidth="1"/>
    <col min="18" max="18" width="33.7265625" bestFit="1" customWidth="1"/>
  </cols>
  <sheetData>
    <row r="1" spans="1:18" x14ac:dyDescent="0.3">
      <c r="A1" s="18" t="s">
        <v>13</v>
      </c>
      <c r="B1" s="18" t="s">
        <v>28</v>
      </c>
      <c r="C1" s="18" t="s">
        <v>15</v>
      </c>
      <c r="D1" s="18" t="s">
        <v>16</v>
      </c>
      <c r="E1" s="18" t="s">
        <v>17</v>
      </c>
      <c r="F1" s="18" t="s">
        <v>18</v>
      </c>
      <c r="G1" s="18" t="s">
        <v>19</v>
      </c>
      <c r="H1" s="18" t="s">
        <v>14</v>
      </c>
      <c r="I1" s="18" t="s">
        <v>20</v>
      </c>
      <c r="J1" s="18" t="s">
        <v>21</v>
      </c>
      <c r="K1" s="18" t="s">
        <v>22</v>
      </c>
      <c r="L1" s="18" t="s">
        <v>23</v>
      </c>
      <c r="M1" s="18" t="s">
        <v>24</v>
      </c>
      <c r="N1" s="18" t="s">
        <v>27</v>
      </c>
      <c r="O1" s="18" t="s">
        <v>25</v>
      </c>
      <c r="P1" s="18" t="s">
        <v>41</v>
      </c>
      <c r="Q1" s="19" t="s">
        <v>26</v>
      </c>
      <c r="R1" s="18" t="s">
        <v>42</v>
      </c>
    </row>
    <row r="2" spans="1:18" x14ac:dyDescent="0.3">
      <c r="A2" s="10">
        <v>1</v>
      </c>
      <c r="B2" s="10" t="s">
        <v>29</v>
      </c>
      <c r="C2" s="11">
        <v>67</v>
      </c>
      <c r="D2" s="10" t="s">
        <v>0</v>
      </c>
      <c r="E2" s="2">
        <v>91</v>
      </c>
      <c r="F2" s="10" t="s">
        <v>0</v>
      </c>
      <c r="G2" s="10" t="s">
        <v>1</v>
      </c>
      <c r="H2" s="11">
        <v>58</v>
      </c>
      <c r="I2" s="10" t="s">
        <v>2</v>
      </c>
      <c r="J2" s="10" t="s">
        <v>3</v>
      </c>
      <c r="K2" s="11">
        <v>55</v>
      </c>
      <c r="L2" s="10" t="s">
        <v>4</v>
      </c>
      <c r="M2" s="11">
        <v>58.8</v>
      </c>
      <c r="N2" s="11" t="str">
        <f t="shared" ref="N2:N65" si="0">IF(M2&gt;75,"Distinction",IF(M2&gt;60,"First Class","Pass"))</f>
        <v>Pass</v>
      </c>
      <c r="O2" s="10" t="s">
        <v>5</v>
      </c>
      <c r="P2" s="10" t="str">
        <f>IF(AND(Placement_Data_Full_Class!$J2="Yes",Placement_Data_Full_Class!$H2&gt;70%),"High Priority", "Standard")</f>
        <v>Standard</v>
      </c>
      <c r="Q2" s="12">
        <v>270000</v>
      </c>
      <c r="R2" s="10">
        <f>IF(Placement_Data_Full_Class!$K2&gt;90,Placement_Data_Full_Class!$Q2+(Placement_Data_Full_Class!$Q2*5%),Placement_Data_Full_Class!$Q2)</f>
        <v>270000</v>
      </c>
    </row>
    <row r="3" spans="1:18" x14ac:dyDescent="0.3">
      <c r="A3" s="10">
        <v>2</v>
      </c>
      <c r="B3" s="10" t="s">
        <v>29</v>
      </c>
      <c r="C3" s="11">
        <v>79.33</v>
      </c>
      <c r="D3" s="10" t="s">
        <v>6</v>
      </c>
      <c r="E3" s="2">
        <v>78.33</v>
      </c>
      <c r="F3" s="10" t="s">
        <v>0</v>
      </c>
      <c r="G3" s="10" t="s">
        <v>7</v>
      </c>
      <c r="H3" s="11">
        <v>77.48</v>
      </c>
      <c r="I3" s="10" t="s">
        <v>2</v>
      </c>
      <c r="J3" s="10" t="s">
        <v>8</v>
      </c>
      <c r="K3" s="11">
        <v>86.5</v>
      </c>
      <c r="L3" s="10" t="s">
        <v>9</v>
      </c>
      <c r="M3" s="11">
        <v>66.28</v>
      </c>
      <c r="N3" s="11" t="str">
        <f t="shared" si="0"/>
        <v>First Class</v>
      </c>
      <c r="O3" s="13" t="s">
        <v>5</v>
      </c>
      <c r="P3" s="13" t="str">
        <f>IF(AND(Placement_Data_Full_Class!$J3="Yes",Placement_Data_Full_Class!$H3&gt;70%),"High Priority", "Standard")</f>
        <v>High Priority</v>
      </c>
      <c r="Q3" s="12">
        <v>200000</v>
      </c>
      <c r="R3" s="10">
        <f>IF(Placement_Data_Full_Class!$K3&gt;90,Placement_Data_Full_Class!$Q3+(Placement_Data_Full_Class!$Q3*5%),Placement_Data_Full_Class!$Q3)</f>
        <v>200000</v>
      </c>
    </row>
    <row r="4" spans="1:18" x14ac:dyDescent="0.3">
      <c r="A4" s="10">
        <v>3</v>
      </c>
      <c r="B4" s="10" t="s">
        <v>29</v>
      </c>
      <c r="C4" s="11">
        <v>65</v>
      </c>
      <c r="D4" s="10" t="s">
        <v>6</v>
      </c>
      <c r="E4" s="2">
        <v>68</v>
      </c>
      <c r="F4" s="10" t="s">
        <v>6</v>
      </c>
      <c r="G4" s="10" t="s">
        <v>10</v>
      </c>
      <c r="H4" s="11">
        <v>64</v>
      </c>
      <c r="I4" s="10" t="s">
        <v>11</v>
      </c>
      <c r="J4" s="10" t="s">
        <v>3</v>
      </c>
      <c r="K4" s="11">
        <v>75</v>
      </c>
      <c r="L4" s="10" t="s">
        <v>9</v>
      </c>
      <c r="M4" s="11">
        <v>57.8</v>
      </c>
      <c r="N4" s="11" t="str">
        <f t="shared" si="0"/>
        <v>Pass</v>
      </c>
      <c r="O4" s="10" t="s">
        <v>5</v>
      </c>
      <c r="P4" s="10" t="str">
        <f>IF(AND(Placement_Data_Full_Class!$J4="Yes",Placement_Data_Full_Class!$H4&gt;70%),"High Priority", "Standard")</f>
        <v>Standard</v>
      </c>
      <c r="Q4" s="12">
        <v>250000</v>
      </c>
      <c r="R4" s="10">
        <f>IF(Placement_Data_Full_Class!$K4&gt;90,Placement_Data_Full_Class!$Q4+(Placement_Data_Full_Class!$Q4*5%),Placement_Data_Full_Class!$Q4)</f>
        <v>250000</v>
      </c>
    </row>
    <row r="5" spans="1:18" x14ac:dyDescent="0.3">
      <c r="A5" s="10">
        <v>4</v>
      </c>
      <c r="B5" s="10" t="s">
        <v>29</v>
      </c>
      <c r="C5" s="11">
        <v>56</v>
      </c>
      <c r="D5" s="10" t="s">
        <v>6</v>
      </c>
      <c r="E5" s="2">
        <v>52</v>
      </c>
      <c r="F5" s="10" t="s">
        <v>6</v>
      </c>
      <c r="G5" s="10" t="s">
        <v>7</v>
      </c>
      <c r="H5" s="11">
        <v>52</v>
      </c>
      <c r="I5" s="10" t="s">
        <v>2</v>
      </c>
      <c r="J5" s="10" t="s">
        <v>3</v>
      </c>
      <c r="K5" s="11">
        <v>66</v>
      </c>
      <c r="L5" s="10" t="s">
        <v>4</v>
      </c>
      <c r="M5" s="11">
        <v>59.43</v>
      </c>
      <c r="N5" s="11" t="str">
        <f t="shared" si="0"/>
        <v>Pass</v>
      </c>
      <c r="O5" s="13" t="s">
        <v>12</v>
      </c>
      <c r="P5" s="13" t="str">
        <f>IF(AND(Placement_Data_Full_Class!$J5="Yes",Placement_Data_Full_Class!$H5&gt;70%),"High Priority", "Standard")</f>
        <v>Standard</v>
      </c>
      <c r="Q5" s="12">
        <v>0</v>
      </c>
      <c r="R5" s="10">
        <f>IF(Placement_Data_Full_Class!$K5&gt;90,Placement_Data_Full_Class!$Q5+(Placement_Data_Full_Class!$Q5*5%),Placement_Data_Full_Class!$Q5)</f>
        <v>0</v>
      </c>
    </row>
    <row r="6" spans="1:18" x14ac:dyDescent="0.3">
      <c r="A6" s="10">
        <v>5</v>
      </c>
      <c r="B6" s="10" t="s">
        <v>29</v>
      </c>
      <c r="C6" s="11">
        <v>85.8</v>
      </c>
      <c r="D6" s="10" t="s">
        <v>6</v>
      </c>
      <c r="E6" s="2">
        <v>73.599999999999994</v>
      </c>
      <c r="F6" s="10" t="s">
        <v>6</v>
      </c>
      <c r="G6" s="10" t="s">
        <v>1</v>
      </c>
      <c r="H6" s="11">
        <v>73.3</v>
      </c>
      <c r="I6" s="10" t="s">
        <v>11</v>
      </c>
      <c r="J6" s="10" t="s">
        <v>3</v>
      </c>
      <c r="K6" s="11">
        <v>96.8</v>
      </c>
      <c r="L6" s="10" t="s">
        <v>9</v>
      </c>
      <c r="M6" s="11">
        <v>55.5</v>
      </c>
      <c r="N6" s="11" t="str">
        <f t="shared" si="0"/>
        <v>Pass</v>
      </c>
      <c r="O6" s="10" t="s">
        <v>5</v>
      </c>
      <c r="P6" s="10" t="str">
        <f>IF(AND(Placement_Data_Full_Class!$J6="Yes",Placement_Data_Full_Class!$H6&gt;70%),"High Priority", "Standard")</f>
        <v>Standard</v>
      </c>
      <c r="Q6" s="12">
        <v>425000</v>
      </c>
      <c r="R6" s="10">
        <f>IF(Placement_Data_Full_Class!$K6&gt;90,Placement_Data_Full_Class!$Q6+(Placement_Data_Full_Class!$Q6*5%),Placement_Data_Full_Class!$Q6)</f>
        <v>446250</v>
      </c>
    </row>
    <row r="7" spans="1:18" x14ac:dyDescent="0.3">
      <c r="A7" s="13">
        <v>6</v>
      </c>
      <c r="B7" s="13" t="s">
        <v>29</v>
      </c>
      <c r="C7" s="14">
        <v>55</v>
      </c>
      <c r="D7" s="13" t="s">
        <v>0</v>
      </c>
      <c r="E7" s="3">
        <v>49.8</v>
      </c>
      <c r="F7" s="13" t="s">
        <v>0</v>
      </c>
      <c r="G7" s="13" t="s">
        <v>7</v>
      </c>
      <c r="H7" s="14">
        <v>67.25</v>
      </c>
      <c r="I7" s="13" t="s">
        <v>2</v>
      </c>
      <c r="J7" s="13" t="s">
        <v>8</v>
      </c>
      <c r="K7" s="14">
        <v>55</v>
      </c>
      <c r="L7" s="13" t="s">
        <v>9</v>
      </c>
      <c r="M7" s="14">
        <v>51.58</v>
      </c>
      <c r="N7" s="14" t="str">
        <f t="shared" si="0"/>
        <v>Pass</v>
      </c>
      <c r="O7" s="13" t="s">
        <v>12</v>
      </c>
      <c r="P7" s="13" t="str">
        <f>IF(AND(Placement_Data_Full_Class!$J7="Yes",Placement_Data_Full_Class!$H7&gt;70%),"High Priority", "Standard")</f>
        <v>High Priority</v>
      </c>
      <c r="Q7" s="15">
        <v>0</v>
      </c>
      <c r="R7" s="10">
        <f>IF(Placement_Data_Full_Class!$K7&gt;90,Placement_Data_Full_Class!$Q7+(Placement_Data_Full_Class!$Q7*5%),Placement_Data_Full_Class!$Q7)</f>
        <v>0</v>
      </c>
    </row>
    <row r="8" spans="1:18" x14ac:dyDescent="0.3">
      <c r="A8" s="10">
        <v>7</v>
      </c>
      <c r="B8" s="10" t="s">
        <v>30</v>
      </c>
      <c r="C8" s="11">
        <v>46</v>
      </c>
      <c r="D8" s="10" t="s">
        <v>0</v>
      </c>
      <c r="E8" s="2">
        <v>49.2</v>
      </c>
      <c r="F8" s="10" t="s">
        <v>0</v>
      </c>
      <c r="G8" s="10" t="s">
        <v>1</v>
      </c>
      <c r="H8" s="11">
        <v>79</v>
      </c>
      <c r="I8" s="10" t="s">
        <v>11</v>
      </c>
      <c r="J8" s="10" t="s">
        <v>3</v>
      </c>
      <c r="K8" s="11">
        <v>74.28</v>
      </c>
      <c r="L8" s="10" t="s">
        <v>9</v>
      </c>
      <c r="M8" s="11">
        <v>53.29</v>
      </c>
      <c r="N8" s="11" t="str">
        <f t="shared" si="0"/>
        <v>Pass</v>
      </c>
      <c r="O8" s="10" t="s">
        <v>12</v>
      </c>
      <c r="P8" s="10" t="str">
        <f>IF(AND(Placement_Data_Full_Class!$J8="Yes",Placement_Data_Full_Class!$H8&gt;70%),"High Priority", "Standard")</f>
        <v>Standard</v>
      </c>
      <c r="Q8" s="12">
        <v>0</v>
      </c>
      <c r="R8" s="10">
        <f>IF(Placement_Data_Full_Class!$K8&gt;90,Placement_Data_Full_Class!$Q8+(Placement_Data_Full_Class!$Q8*5%),Placement_Data_Full_Class!$Q8)</f>
        <v>0</v>
      </c>
    </row>
    <row r="9" spans="1:18" x14ac:dyDescent="0.3">
      <c r="A9" s="10">
        <v>8</v>
      </c>
      <c r="B9" s="10" t="s">
        <v>29</v>
      </c>
      <c r="C9" s="11">
        <v>82</v>
      </c>
      <c r="D9" s="10" t="s">
        <v>6</v>
      </c>
      <c r="E9" s="2">
        <v>64</v>
      </c>
      <c r="F9" s="10" t="s">
        <v>6</v>
      </c>
      <c r="G9" s="10" t="s">
        <v>7</v>
      </c>
      <c r="H9" s="11">
        <v>66</v>
      </c>
      <c r="I9" s="10" t="s">
        <v>2</v>
      </c>
      <c r="J9" s="10" t="s">
        <v>8</v>
      </c>
      <c r="K9" s="11">
        <v>67</v>
      </c>
      <c r="L9" s="10" t="s">
        <v>9</v>
      </c>
      <c r="M9" s="11">
        <v>62.14</v>
      </c>
      <c r="N9" s="11" t="str">
        <f t="shared" si="0"/>
        <v>First Class</v>
      </c>
      <c r="O9" s="13" t="s">
        <v>5</v>
      </c>
      <c r="P9" s="13" t="str">
        <f>IF(AND(Placement_Data_Full_Class!$J9="Yes",Placement_Data_Full_Class!$H9&gt;70%),"High Priority", "Standard")</f>
        <v>High Priority</v>
      </c>
      <c r="Q9" s="12">
        <v>252000</v>
      </c>
      <c r="R9" s="10">
        <f>IF(Placement_Data_Full_Class!$K9&gt;90,Placement_Data_Full_Class!$Q9+(Placement_Data_Full_Class!$Q9*5%),Placement_Data_Full_Class!$Q9)</f>
        <v>252000</v>
      </c>
    </row>
    <row r="10" spans="1:18" x14ac:dyDescent="0.3">
      <c r="A10" s="10">
        <v>9</v>
      </c>
      <c r="B10" s="10" t="s">
        <v>29</v>
      </c>
      <c r="C10" s="11">
        <v>73</v>
      </c>
      <c r="D10" s="10" t="s">
        <v>6</v>
      </c>
      <c r="E10" s="2">
        <v>79</v>
      </c>
      <c r="F10" s="10" t="s">
        <v>6</v>
      </c>
      <c r="G10" s="10" t="s">
        <v>1</v>
      </c>
      <c r="H10" s="11">
        <v>72</v>
      </c>
      <c r="I10" s="10" t="s">
        <v>11</v>
      </c>
      <c r="J10" s="10" t="s">
        <v>3</v>
      </c>
      <c r="K10" s="11">
        <v>91.34</v>
      </c>
      <c r="L10" s="10" t="s">
        <v>9</v>
      </c>
      <c r="M10" s="11">
        <v>61.29</v>
      </c>
      <c r="N10" s="11" t="str">
        <f t="shared" si="0"/>
        <v>First Class</v>
      </c>
      <c r="O10" s="10" t="s">
        <v>5</v>
      </c>
      <c r="P10" s="10" t="str">
        <f>IF(AND(Placement_Data_Full_Class!$J10="Yes",Placement_Data_Full_Class!$H10&gt;70%),"High Priority", "Standard")</f>
        <v>Standard</v>
      </c>
      <c r="Q10" s="12">
        <v>231000</v>
      </c>
      <c r="R10" s="10">
        <f>IF(Placement_Data_Full_Class!$K10&gt;90,Placement_Data_Full_Class!$Q10+(Placement_Data_Full_Class!$Q10*5%),Placement_Data_Full_Class!$Q10)</f>
        <v>242550</v>
      </c>
    </row>
    <row r="11" spans="1:18" x14ac:dyDescent="0.3">
      <c r="A11" s="13">
        <v>10</v>
      </c>
      <c r="B11" s="13" t="s">
        <v>29</v>
      </c>
      <c r="C11" s="14">
        <v>58</v>
      </c>
      <c r="D11" s="13" t="s">
        <v>6</v>
      </c>
      <c r="E11" s="3">
        <v>70</v>
      </c>
      <c r="F11" s="13" t="s">
        <v>6</v>
      </c>
      <c r="G11" s="13" t="s">
        <v>1</v>
      </c>
      <c r="H11" s="14">
        <v>61</v>
      </c>
      <c r="I11" s="13" t="s">
        <v>11</v>
      </c>
      <c r="J11" s="13" t="s">
        <v>3</v>
      </c>
      <c r="K11" s="14">
        <v>54</v>
      </c>
      <c r="L11" s="13" t="s">
        <v>9</v>
      </c>
      <c r="M11" s="14">
        <v>52.21</v>
      </c>
      <c r="N11" s="14" t="str">
        <f t="shared" si="0"/>
        <v>Pass</v>
      </c>
      <c r="O11" s="13" t="s">
        <v>12</v>
      </c>
      <c r="P11" s="13" t="str">
        <f>IF(AND(Placement_Data_Full_Class!$J11="Yes",Placement_Data_Full_Class!$H11&gt;70%),"High Priority", "Standard")</f>
        <v>Standard</v>
      </c>
      <c r="Q11" s="15">
        <v>0</v>
      </c>
      <c r="R11" s="10">
        <f>IF(Placement_Data_Full_Class!$K11&gt;90,Placement_Data_Full_Class!$Q11+(Placement_Data_Full_Class!$Q11*5%),Placement_Data_Full_Class!$Q11)</f>
        <v>0</v>
      </c>
    </row>
    <row r="12" spans="1:18" x14ac:dyDescent="0.3">
      <c r="A12" s="10">
        <v>11</v>
      </c>
      <c r="B12" s="10" t="s">
        <v>29</v>
      </c>
      <c r="C12" s="11">
        <v>58</v>
      </c>
      <c r="D12" s="10" t="s">
        <v>6</v>
      </c>
      <c r="E12" s="2">
        <v>61</v>
      </c>
      <c r="F12" s="10" t="s">
        <v>6</v>
      </c>
      <c r="G12" s="10" t="s">
        <v>1</v>
      </c>
      <c r="H12" s="11">
        <v>60</v>
      </c>
      <c r="I12" s="10" t="s">
        <v>11</v>
      </c>
      <c r="J12" s="10" t="s">
        <v>8</v>
      </c>
      <c r="K12" s="11">
        <v>62</v>
      </c>
      <c r="L12" s="10" t="s">
        <v>4</v>
      </c>
      <c r="M12" s="11">
        <v>60.85</v>
      </c>
      <c r="N12" s="11" t="str">
        <f t="shared" si="0"/>
        <v>First Class</v>
      </c>
      <c r="O12" s="10" t="s">
        <v>5</v>
      </c>
      <c r="P12" s="10" t="str">
        <f>IF(AND(Placement_Data_Full_Class!$J12="Yes",Placement_Data_Full_Class!$H12&gt;70%),"High Priority", "Standard")</f>
        <v>High Priority</v>
      </c>
      <c r="Q12" s="12">
        <v>260000</v>
      </c>
      <c r="R12" s="10">
        <f>IF(Placement_Data_Full_Class!$K12&gt;90,Placement_Data_Full_Class!$Q12+(Placement_Data_Full_Class!$Q12*5%),Placement_Data_Full_Class!$Q12)</f>
        <v>260000</v>
      </c>
    </row>
    <row r="13" spans="1:18" x14ac:dyDescent="0.3">
      <c r="A13" s="10">
        <v>12</v>
      </c>
      <c r="B13" s="10" t="s">
        <v>29</v>
      </c>
      <c r="C13" s="11">
        <v>69.599999999999994</v>
      </c>
      <c r="D13" s="10" t="s">
        <v>6</v>
      </c>
      <c r="E13" s="2">
        <v>68.400000000000006</v>
      </c>
      <c r="F13" s="10" t="s">
        <v>6</v>
      </c>
      <c r="G13" s="10" t="s">
        <v>1</v>
      </c>
      <c r="H13" s="11">
        <v>78.3</v>
      </c>
      <c r="I13" s="10" t="s">
        <v>11</v>
      </c>
      <c r="J13" s="10" t="s">
        <v>8</v>
      </c>
      <c r="K13" s="11">
        <v>60</v>
      </c>
      <c r="L13" s="10" t="s">
        <v>9</v>
      </c>
      <c r="M13" s="11">
        <v>63.7</v>
      </c>
      <c r="N13" s="11" t="str">
        <f t="shared" si="0"/>
        <v>First Class</v>
      </c>
      <c r="O13" s="13" t="s">
        <v>5</v>
      </c>
      <c r="P13" s="13" t="str">
        <f>IF(AND(Placement_Data_Full_Class!$J13="Yes",Placement_Data_Full_Class!$H13&gt;70%),"High Priority", "Standard")</f>
        <v>High Priority</v>
      </c>
      <c r="Q13" s="12">
        <v>250000</v>
      </c>
      <c r="R13" s="10">
        <f>IF(Placement_Data_Full_Class!$K13&gt;90,Placement_Data_Full_Class!$Q13+(Placement_Data_Full_Class!$Q13*5%),Placement_Data_Full_Class!$Q13)</f>
        <v>250000</v>
      </c>
    </row>
    <row r="14" spans="1:18" x14ac:dyDescent="0.3">
      <c r="A14" s="10">
        <v>13</v>
      </c>
      <c r="B14" s="10" t="s">
        <v>30</v>
      </c>
      <c r="C14" s="11">
        <v>47</v>
      </c>
      <c r="D14" s="10" t="s">
        <v>6</v>
      </c>
      <c r="E14" s="2">
        <v>55</v>
      </c>
      <c r="F14" s="10" t="s">
        <v>0</v>
      </c>
      <c r="G14" s="10" t="s">
        <v>7</v>
      </c>
      <c r="H14" s="11">
        <v>65</v>
      </c>
      <c r="I14" s="10" t="s">
        <v>11</v>
      </c>
      <c r="J14" s="10" t="s">
        <v>3</v>
      </c>
      <c r="K14" s="11">
        <v>62</v>
      </c>
      <c r="L14" s="10" t="s">
        <v>4</v>
      </c>
      <c r="M14" s="11">
        <v>65.040000000000006</v>
      </c>
      <c r="N14" s="11" t="str">
        <f t="shared" si="0"/>
        <v>First Class</v>
      </c>
      <c r="O14" s="10" t="s">
        <v>12</v>
      </c>
      <c r="P14" s="10" t="str">
        <f>IF(AND(Placement_Data_Full_Class!$J14="Yes",Placement_Data_Full_Class!$H14&gt;70%),"High Priority", "Standard")</f>
        <v>Standard</v>
      </c>
      <c r="Q14" s="12">
        <v>0</v>
      </c>
      <c r="R14" s="10">
        <f>IF(Placement_Data_Full_Class!$K14&gt;90,Placement_Data_Full_Class!$Q14+(Placement_Data_Full_Class!$Q14*5%),Placement_Data_Full_Class!$Q14)</f>
        <v>0</v>
      </c>
    </row>
    <row r="15" spans="1:18" x14ac:dyDescent="0.3">
      <c r="A15" s="13">
        <v>14</v>
      </c>
      <c r="B15" s="13" t="s">
        <v>30</v>
      </c>
      <c r="C15" s="14">
        <v>77</v>
      </c>
      <c r="D15" s="13" t="s">
        <v>6</v>
      </c>
      <c r="E15" s="3">
        <v>87</v>
      </c>
      <c r="F15" s="13" t="s">
        <v>6</v>
      </c>
      <c r="G15" s="13" t="s">
        <v>1</v>
      </c>
      <c r="H15" s="14">
        <v>59</v>
      </c>
      <c r="I15" s="13" t="s">
        <v>11</v>
      </c>
      <c r="J15" s="13" t="s">
        <v>3</v>
      </c>
      <c r="K15" s="14">
        <v>68</v>
      </c>
      <c r="L15" s="13" t="s">
        <v>9</v>
      </c>
      <c r="M15" s="14">
        <v>68.63</v>
      </c>
      <c r="N15" s="14" t="str">
        <f t="shared" si="0"/>
        <v>First Class</v>
      </c>
      <c r="O15" s="13" t="s">
        <v>5</v>
      </c>
      <c r="P15" s="13" t="str">
        <f>IF(AND(Placement_Data_Full_Class!$J15="Yes",Placement_Data_Full_Class!$H15&gt;70%),"High Priority", "Standard")</f>
        <v>Standard</v>
      </c>
      <c r="Q15" s="15">
        <v>218000</v>
      </c>
      <c r="R15" s="10">
        <f>IF(Placement_Data_Full_Class!$K15&gt;90,Placement_Data_Full_Class!$Q15+(Placement_Data_Full_Class!$Q15*5%),Placement_Data_Full_Class!$Q15)</f>
        <v>218000</v>
      </c>
    </row>
    <row r="16" spans="1:18" x14ac:dyDescent="0.3">
      <c r="A16" s="10">
        <v>15</v>
      </c>
      <c r="B16" s="10" t="s">
        <v>29</v>
      </c>
      <c r="C16" s="11">
        <v>62</v>
      </c>
      <c r="D16" s="10" t="s">
        <v>6</v>
      </c>
      <c r="E16" s="2">
        <v>47</v>
      </c>
      <c r="F16" s="10" t="s">
        <v>6</v>
      </c>
      <c r="G16" s="10" t="s">
        <v>1</v>
      </c>
      <c r="H16" s="11">
        <v>50</v>
      </c>
      <c r="I16" s="10" t="s">
        <v>11</v>
      </c>
      <c r="J16" s="10" t="s">
        <v>3</v>
      </c>
      <c r="K16" s="11">
        <v>76</v>
      </c>
      <c r="L16" s="10" t="s">
        <v>4</v>
      </c>
      <c r="M16" s="11">
        <v>54.96</v>
      </c>
      <c r="N16" s="11" t="str">
        <f t="shared" si="0"/>
        <v>Pass</v>
      </c>
      <c r="O16" s="10" t="s">
        <v>12</v>
      </c>
      <c r="P16" s="10" t="str">
        <f>IF(AND(Placement_Data_Full_Class!$J16="Yes",Placement_Data_Full_Class!$H16&gt;70%),"High Priority", "Standard")</f>
        <v>Standard</v>
      </c>
      <c r="Q16" s="12">
        <v>0</v>
      </c>
      <c r="R16" s="10">
        <f>IF(Placement_Data_Full_Class!$K16&gt;90,Placement_Data_Full_Class!$Q16+(Placement_Data_Full_Class!$Q16*5%),Placement_Data_Full_Class!$Q16)</f>
        <v>0</v>
      </c>
    </row>
    <row r="17" spans="1:18" x14ac:dyDescent="0.3">
      <c r="A17" s="10">
        <v>16</v>
      </c>
      <c r="B17" s="10" t="s">
        <v>30</v>
      </c>
      <c r="C17" s="11">
        <v>65</v>
      </c>
      <c r="D17" s="10" t="s">
        <v>6</v>
      </c>
      <c r="E17" s="2">
        <v>75</v>
      </c>
      <c r="F17" s="10" t="s">
        <v>6</v>
      </c>
      <c r="G17" s="10" t="s">
        <v>1</v>
      </c>
      <c r="H17" s="11">
        <v>69</v>
      </c>
      <c r="I17" s="10" t="s">
        <v>11</v>
      </c>
      <c r="J17" s="10" t="s">
        <v>8</v>
      </c>
      <c r="K17" s="11">
        <v>72</v>
      </c>
      <c r="L17" s="10" t="s">
        <v>9</v>
      </c>
      <c r="M17" s="11">
        <v>64.66</v>
      </c>
      <c r="N17" s="11" t="str">
        <f t="shared" si="0"/>
        <v>First Class</v>
      </c>
      <c r="O17" s="13" t="s">
        <v>5</v>
      </c>
      <c r="P17" s="13" t="str">
        <f>IF(AND(Placement_Data_Full_Class!$J17="Yes",Placement_Data_Full_Class!$H17&gt;70%),"High Priority", "Standard")</f>
        <v>High Priority</v>
      </c>
      <c r="Q17" s="12">
        <v>200000</v>
      </c>
      <c r="R17" s="10">
        <f>IF(Placement_Data_Full_Class!$K17&gt;90,Placement_Data_Full_Class!$Q17+(Placement_Data_Full_Class!$Q17*5%),Placement_Data_Full_Class!$Q17)</f>
        <v>200000</v>
      </c>
    </row>
    <row r="18" spans="1:18" x14ac:dyDescent="0.3">
      <c r="A18" s="10">
        <v>17</v>
      </c>
      <c r="B18" s="10" t="s">
        <v>29</v>
      </c>
      <c r="C18" s="11">
        <v>63</v>
      </c>
      <c r="D18" s="10" t="s">
        <v>6</v>
      </c>
      <c r="E18" s="2">
        <v>66.2</v>
      </c>
      <c r="F18" s="10" t="s">
        <v>6</v>
      </c>
      <c r="G18" s="10" t="s">
        <v>1</v>
      </c>
      <c r="H18" s="11">
        <v>65.599999999999994</v>
      </c>
      <c r="I18" s="10" t="s">
        <v>11</v>
      </c>
      <c r="J18" s="10" t="s">
        <v>8</v>
      </c>
      <c r="K18" s="11">
        <v>60</v>
      </c>
      <c r="L18" s="10" t="s">
        <v>9</v>
      </c>
      <c r="M18" s="11">
        <v>62.54</v>
      </c>
      <c r="N18" s="11" t="str">
        <f t="shared" si="0"/>
        <v>First Class</v>
      </c>
      <c r="O18" s="10" t="s">
        <v>5</v>
      </c>
      <c r="P18" s="10" t="str">
        <f>IF(AND(Placement_Data_Full_Class!$J18="Yes",Placement_Data_Full_Class!$H18&gt;70%),"High Priority", "Standard")</f>
        <v>High Priority</v>
      </c>
      <c r="Q18" s="12">
        <v>300000</v>
      </c>
      <c r="R18" s="10">
        <f>IF(Placement_Data_Full_Class!$K18&gt;90,Placement_Data_Full_Class!$Q18+(Placement_Data_Full_Class!$Q18*5%),Placement_Data_Full_Class!$Q18)</f>
        <v>300000</v>
      </c>
    </row>
    <row r="19" spans="1:18" x14ac:dyDescent="0.3">
      <c r="A19" s="13">
        <v>18</v>
      </c>
      <c r="B19" s="13" t="s">
        <v>30</v>
      </c>
      <c r="C19" s="14">
        <v>55</v>
      </c>
      <c r="D19" s="13" t="s">
        <v>6</v>
      </c>
      <c r="E19" s="3">
        <v>67</v>
      </c>
      <c r="F19" s="13" t="s">
        <v>6</v>
      </c>
      <c r="G19" s="13" t="s">
        <v>1</v>
      </c>
      <c r="H19" s="14">
        <v>64</v>
      </c>
      <c r="I19" s="13" t="s">
        <v>11</v>
      </c>
      <c r="J19" s="13" t="s">
        <v>3</v>
      </c>
      <c r="K19" s="14">
        <v>60</v>
      </c>
      <c r="L19" s="13" t="s">
        <v>9</v>
      </c>
      <c r="M19" s="14">
        <v>67.28</v>
      </c>
      <c r="N19" s="14" t="str">
        <f t="shared" si="0"/>
        <v>First Class</v>
      </c>
      <c r="O19" s="13" t="s">
        <v>12</v>
      </c>
      <c r="P19" s="13" t="str">
        <f>IF(AND(Placement_Data_Full_Class!$J19="Yes",Placement_Data_Full_Class!$H19&gt;70%),"High Priority", "Standard")</f>
        <v>Standard</v>
      </c>
      <c r="Q19" s="15">
        <v>0</v>
      </c>
      <c r="R19" s="10">
        <f>IF(Placement_Data_Full_Class!$K19&gt;90,Placement_Data_Full_Class!$Q19+(Placement_Data_Full_Class!$Q19*5%),Placement_Data_Full_Class!$Q19)</f>
        <v>0</v>
      </c>
    </row>
    <row r="20" spans="1:18" x14ac:dyDescent="0.3">
      <c r="A20" s="10">
        <v>19</v>
      </c>
      <c r="B20" s="10" t="s">
        <v>30</v>
      </c>
      <c r="C20" s="11">
        <v>63</v>
      </c>
      <c r="D20" s="10" t="s">
        <v>6</v>
      </c>
      <c r="E20" s="2">
        <v>66</v>
      </c>
      <c r="F20" s="10" t="s">
        <v>6</v>
      </c>
      <c r="G20" s="10" t="s">
        <v>1</v>
      </c>
      <c r="H20" s="11">
        <v>64</v>
      </c>
      <c r="I20" s="10" t="s">
        <v>11</v>
      </c>
      <c r="J20" s="10" t="s">
        <v>3</v>
      </c>
      <c r="K20" s="11">
        <v>68</v>
      </c>
      <c r="L20" s="10" t="s">
        <v>4</v>
      </c>
      <c r="M20" s="11">
        <v>64.08</v>
      </c>
      <c r="N20" s="11" t="str">
        <f t="shared" si="0"/>
        <v>First Class</v>
      </c>
      <c r="O20" s="10" t="s">
        <v>12</v>
      </c>
      <c r="P20" s="10" t="str">
        <f>IF(AND(Placement_Data_Full_Class!$J20="Yes",Placement_Data_Full_Class!$H20&gt;70%),"High Priority", "Standard")</f>
        <v>Standard</v>
      </c>
      <c r="Q20" s="12">
        <v>0</v>
      </c>
      <c r="R20" s="10">
        <f>IF(Placement_Data_Full_Class!$K20&gt;90,Placement_Data_Full_Class!$Q20+(Placement_Data_Full_Class!$Q20*5%),Placement_Data_Full_Class!$Q20)</f>
        <v>0</v>
      </c>
    </row>
    <row r="21" spans="1:18" x14ac:dyDescent="0.3">
      <c r="A21" s="10">
        <v>20</v>
      </c>
      <c r="B21" s="10" t="s">
        <v>29</v>
      </c>
      <c r="C21" s="11">
        <v>60</v>
      </c>
      <c r="D21" s="10" t="s">
        <v>0</v>
      </c>
      <c r="E21" s="2">
        <v>67</v>
      </c>
      <c r="F21" s="10" t="s">
        <v>0</v>
      </c>
      <c r="G21" s="10" t="s">
        <v>10</v>
      </c>
      <c r="H21" s="11">
        <v>70</v>
      </c>
      <c r="I21" s="10" t="s">
        <v>11</v>
      </c>
      <c r="J21" s="10" t="s">
        <v>8</v>
      </c>
      <c r="K21" s="11">
        <v>50.48</v>
      </c>
      <c r="L21" s="10" t="s">
        <v>9</v>
      </c>
      <c r="M21" s="11">
        <v>77.89</v>
      </c>
      <c r="N21" s="11" t="str">
        <f t="shared" si="0"/>
        <v>Distinction</v>
      </c>
      <c r="O21" s="13" t="s">
        <v>5</v>
      </c>
      <c r="P21" s="13" t="str">
        <f>IF(AND(Placement_Data_Full_Class!$J21="Yes",Placement_Data_Full_Class!$H21&gt;70%),"High Priority", "Standard")</f>
        <v>High Priority</v>
      </c>
      <c r="Q21" s="12">
        <v>236000</v>
      </c>
      <c r="R21" s="10">
        <f>IF(Placement_Data_Full_Class!$K21&gt;90,Placement_Data_Full_Class!$Q21+(Placement_Data_Full_Class!$Q21*5%),Placement_Data_Full_Class!$Q21)</f>
        <v>236000</v>
      </c>
    </row>
    <row r="22" spans="1:18" x14ac:dyDescent="0.3">
      <c r="A22" s="10">
        <v>21</v>
      </c>
      <c r="B22" s="10" t="s">
        <v>29</v>
      </c>
      <c r="C22" s="11">
        <v>62</v>
      </c>
      <c r="D22" s="10" t="s">
        <v>0</v>
      </c>
      <c r="E22" s="2">
        <v>65</v>
      </c>
      <c r="F22" s="10" t="s">
        <v>0</v>
      </c>
      <c r="G22" s="10" t="s">
        <v>1</v>
      </c>
      <c r="H22" s="11">
        <v>66</v>
      </c>
      <c r="I22" s="10" t="s">
        <v>11</v>
      </c>
      <c r="J22" s="10" t="s">
        <v>3</v>
      </c>
      <c r="K22" s="11">
        <v>50</v>
      </c>
      <c r="L22" s="10" t="s">
        <v>4</v>
      </c>
      <c r="M22" s="11">
        <v>56.7</v>
      </c>
      <c r="N22" s="11" t="str">
        <f t="shared" si="0"/>
        <v>Pass</v>
      </c>
      <c r="O22" s="10" t="s">
        <v>5</v>
      </c>
      <c r="P22" s="10" t="str">
        <f>IF(AND(Placement_Data_Full_Class!$J22="Yes",Placement_Data_Full_Class!$H22&gt;70%),"High Priority", "Standard")</f>
        <v>Standard</v>
      </c>
      <c r="Q22" s="12">
        <v>265000</v>
      </c>
      <c r="R22" s="10">
        <f>IF(Placement_Data_Full_Class!$K22&gt;90,Placement_Data_Full_Class!$Q22+(Placement_Data_Full_Class!$Q22*5%),Placement_Data_Full_Class!$Q22)</f>
        <v>265000</v>
      </c>
    </row>
    <row r="23" spans="1:18" x14ac:dyDescent="0.3">
      <c r="A23" s="10">
        <v>22</v>
      </c>
      <c r="B23" s="10" t="s">
        <v>30</v>
      </c>
      <c r="C23" s="11">
        <v>79</v>
      </c>
      <c r="D23" s="10" t="s">
        <v>0</v>
      </c>
      <c r="E23" s="2">
        <v>76</v>
      </c>
      <c r="F23" s="10" t="s">
        <v>0</v>
      </c>
      <c r="G23" s="10" t="s">
        <v>1</v>
      </c>
      <c r="H23" s="11">
        <v>85</v>
      </c>
      <c r="I23" s="10" t="s">
        <v>11</v>
      </c>
      <c r="J23" s="10" t="s">
        <v>3</v>
      </c>
      <c r="K23" s="11">
        <v>95</v>
      </c>
      <c r="L23" s="10" t="s">
        <v>9</v>
      </c>
      <c r="M23" s="11">
        <v>69.06</v>
      </c>
      <c r="N23" s="11" t="str">
        <f t="shared" si="0"/>
        <v>First Class</v>
      </c>
      <c r="O23" s="13" t="s">
        <v>5</v>
      </c>
      <c r="P23" s="13" t="str">
        <f>IF(AND(Placement_Data_Full_Class!$J23="Yes",Placement_Data_Full_Class!$H23&gt;70%),"High Priority", "Standard")</f>
        <v>Standard</v>
      </c>
      <c r="Q23" s="12">
        <v>393000</v>
      </c>
      <c r="R23" s="10">
        <f>IF(Placement_Data_Full_Class!$K23&gt;90,Placement_Data_Full_Class!$Q23+(Placement_Data_Full_Class!$Q23*5%),Placement_Data_Full_Class!$Q23)</f>
        <v>412650</v>
      </c>
    </row>
    <row r="24" spans="1:18" x14ac:dyDescent="0.3">
      <c r="A24" s="10">
        <v>23</v>
      </c>
      <c r="B24" s="10" t="s">
        <v>30</v>
      </c>
      <c r="C24" s="11">
        <v>69.8</v>
      </c>
      <c r="D24" s="10" t="s">
        <v>0</v>
      </c>
      <c r="E24" s="2">
        <v>60.8</v>
      </c>
      <c r="F24" s="10" t="s">
        <v>0</v>
      </c>
      <c r="G24" s="10" t="s">
        <v>7</v>
      </c>
      <c r="H24" s="11">
        <v>72.23</v>
      </c>
      <c r="I24" s="10" t="s">
        <v>2</v>
      </c>
      <c r="J24" s="10" t="s">
        <v>3</v>
      </c>
      <c r="K24" s="11">
        <v>55.53</v>
      </c>
      <c r="L24" s="10" t="s">
        <v>4</v>
      </c>
      <c r="M24" s="11">
        <v>68.81</v>
      </c>
      <c r="N24" s="11" t="str">
        <f t="shared" si="0"/>
        <v>First Class</v>
      </c>
      <c r="O24" s="10" t="s">
        <v>5</v>
      </c>
      <c r="P24" s="10" t="str">
        <f>IF(AND(Placement_Data_Full_Class!$J24="Yes",Placement_Data_Full_Class!$H24&gt;70%),"High Priority", "Standard")</f>
        <v>Standard</v>
      </c>
      <c r="Q24" s="12">
        <v>360000</v>
      </c>
      <c r="R24" s="10">
        <f>IF(Placement_Data_Full_Class!$K24&gt;90,Placement_Data_Full_Class!$Q24+(Placement_Data_Full_Class!$Q24*5%),Placement_Data_Full_Class!$Q24)</f>
        <v>360000</v>
      </c>
    </row>
    <row r="25" spans="1:18" x14ac:dyDescent="0.3">
      <c r="A25" s="13">
        <v>24</v>
      </c>
      <c r="B25" s="13" t="s">
        <v>30</v>
      </c>
      <c r="C25" s="14">
        <v>77.400000000000006</v>
      </c>
      <c r="D25" s="13" t="s">
        <v>0</v>
      </c>
      <c r="E25" s="3">
        <v>60</v>
      </c>
      <c r="F25" s="13" t="s">
        <v>0</v>
      </c>
      <c r="G25" s="13" t="s">
        <v>7</v>
      </c>
      <c r="H25" s="14">
        <v>64.739999999999995</v>
      </c>
      <c r="I25" s="13" t="s">
        <v>2</v>
      </c>
      <c r="J25" s="13" t="s">
        <v>8</v>
      </c>
      <c r="K25" s="14">
        <v>92</v>
      </c>
      <c r="L25" s="13" t="s">
        <v>9</v>
      </c>
      <c r="M25" s="14">
        <v>63.62</v>
      </c>
      <c r="N25" s="14" t="str">
        <f t="shared" si="0"/>
        <v>First Class</v>
      </c>
      <c r="O25" s="13" t="s">
        <v>5</v>
      </c>
      <c r="P25" s="13" t="str">
        <f>IF(AND(Placement_Data_Full_Class!$J25="Yes",Placement_Data_Full_Class!$H25&gt;70%),"High Priority", "Standard")</f>
        <v>High Priority</v>
      </c>
      <c r="Q25" s="15">
        <v>300000</v>
      </c>
      <c r="R25" s="10">
        <f>IF(Placement_Data_Full_Class!$K25&gt;90,Placement_Data_Full_Class!$Q25+(Placement_Data_Full_Class!$Q25*5%),Placement_Data_Full_Class!$Q25)</f>
        <v>315000</v>
      </c>
    </row>
    <row r="26" spans="1:18" x14ac:dyDescent="0.3">
      <c r="A26" s="10">
        <v>25</v>
      </c>
      <c r="B26" s="10" t="s">
        <v>29</v>
      </c>
      <c r="C26" s="11">
        <v>76.5</v>
      </c>
      <c r="D26" s="10" t="s">
        <v>0</v>
      </c>
      <c r="E26" s="2">
        <v>97.7</v>
      </c>
      <c r="F26" s="10" t="s">
        <v>0</v>
      </c>
      <c r="G26" s="10" t="s">
        <v>7</v>
      </c>
      <c r="H26" s="11">
        <v>78.86</v>
      </c>
      <c r="I26" s="10" t="s">
        <v>2</v>
      </c>
      <c r="J26" s="10" t="s">
        <v>3</v>
      </c>
      <c r="K26" s="11">
        <v>97.4</v>
      </c>
      <c r="L26" s="10" t="s">
        <v>9</v>
      </c>
      <c r="M26" s="11">
        <v>74.010000000000005</v>
      </c>
      <c r="N26" s="11" t="str">
        <f t="shared" si="0"/>
        <v>First Class</v>
      </c>
      <c r="O26" s="10" t="s">
        <v>5</v>
      </c>
      <c r="P26" s="10" t="str">
        <f>IF(AND(Placement_Data_Full_Class!$J26="Yes",Placement_Data_Full_Class!$H26&gt;70%),"High Priority", "Standard")</f>
        <v>Standard</v>
      </c>
      <c r="Q26" s="12">
        <v>360000</v>
      </c>
      <c r="R26" s="10">
        <f>IF(Placement_Data_Full_Class!$K26&gt;90,Placement_Data_Full_Class!$Q26+(Placement_Data_Full_Class!$Q26*5%),Placement_Data_Full_Class!$Q26)</f>
        <v>378000</v>
      </c>
    </row>
    <row r="27" spans="1:18" x14ac:dyDescent="0.3">
      <c r="A27" s="10">
        <v>26</v>
      </c>
      <c r="B27" s="10" t="s">
        <v>30</v>
      </c>
      <c r="C27" s="11">
        <v>52.58</v>
      </c>
      <c r="D27" s="10" t="s">
        <v>0</v>
      </c>
      <c r="E27" s="2">
        <v>54.6</v>
      </c>
      <c r="F27" s="10" t="s">
        <v>6</v>
      </c>
      <c r="G27" s="10" t="s">
        <v>1</v>
      </c>
      <c r="H27" s="11">
        <v>50.2</v>
      </c>
      <c r="I27" s="10" t="s">
        <v>11</v>
      </c>
      <c r="J27" s="10" t="s">
        <v>8</v>
      </c>
      <c r="K27" s="11">
        <v>76</v>
      </c>
      <c r="L27" s="10" t="s">
        <v>9</v>
      </c>
      <c r="M27" s="11">
        <v>65.33</v>
      </c>
      <c r="N27" s="11" t="str">
        <f t="shared" si="0"/>
        <v>First Class</v>
      </c>
      <c r="O27" s="13" t="s">
        <v>12</v>
      </c>
      <c r="P27" s="13" t="str">
        <f>IF(AND(Placement_Data_Full_Class!$J27="Yes",Placement_Data_Full_Class!$H27&gt;70%),"High Priority", "Standard")</f>
        <v>High Priority</v>
      </c>
      <c r="Q27" s="12">
        <v>0</v>
      </c>
      <c r="R27" s="10">
        <f>IF(Placement_Data_Full_Class!$K27&gt;90,Placement_Data_Full_Class!$Q27+(Placement_Data_Full_Class!$Q27*5%),Placement_Data_Full_Class!$Q27)</f>
        <v>0</v>
      </c>
    </row>
    <row r="28" spans="1:18" x14ac:dyDescent="0.3">
      <c r="A28" s="10">
        <v>27</v>
      </c>
      <c r="B28" s="10" t="s">
        <v>29</v>
      </c>
      <c r="C28" s="11">
        <v>71</v>
      </c>
      <c r="D28" s="10" t="s">
        <v>0</v>
      </c>
      <c r="E28" s="2">
        <v>79</v>
      </c>
      <c r="F28" s="10" t="s">
        <v>0</v>
      </c>
      <c r="G28" s="10" t="s">
        <v>1</v>
      </c>
      <c r="H28" s="11">
        <v>66</v>
      </c>
      <c r="I28" s="10" t="s">
        <v>11</v>
      </c>
      <c r="J28" s="10" t="s">
        <v>8</v>
      </c>
      <c r="K28" s="11">
        <v>94</v>
      </c>
      <c r="L28" s="10" t="s">
        <v>9</v>
      </c>
      <c r="M28" s="11">
        <v>57.55</v>
      </c>
      <c r="N28" s="11" t="str">
        <f t="shared" si="0"/>
        <v>Pass</v>
      </c>
      <c r="O28" s="10" t="s">
        <v>5</v>
      </c>
      <c r="P28" s="10" t="str">
        <f>IF(AND(Placement_Data_Full_Class!$J28="Yes",Placement_Data_Full_Class!$H28&gt;70%),"High Priority", "Standard")</f>
        <v>High Priority</v>
      </c>
      <c r="Q28" s="12">
        <v>240000</v>
      </c>
      <c r="R28" s="10">
        <f>IF(Placement_Data_Full_Class!$K28&gt;90,Placement_Data_Full_Class!$Q28+(Placement_Data_Full_Class!$Q28*5%),Placement_Data_Full_Class!$Q28)</f>
        <v>252000</v>
      </c>
    </row>
    <row r="29" spans="1:18" x14ac:dyDescent="0.3">
      <c r="A29" s="10">
        <v>28</v>
      </c>
      <c r="B29" s="10" t="s">
        <v>29</v>
      </c>
      <c r="C29" s="11">
        <v>63</v>
      </c>
      <c r="D29" s="10" t="s">
        <v>0</v>
      </c>
      <c r="E29" s="2">
        <v>67</v>
      </c>
      <c r="F29" s="10" t="s">
        <v>0</v>
      </c>
      <c r="G29" s="10" t="s">
        <v>1</v>
      </c>
      <c r="H29" s="11">
        <v>66</v>
      </c>
      <c r="I29" s="10" t="s">
        <v>11</v>
      </c>
      <c r="J29" s="10" t="s">
        <v>3</v>
      </c>
      <c r="K29" s="11">
        <v>68</v>
      </c>
      <c r="L29" s="10" t="s">
        <v>4</v>
      </c>
      <c r="M29" s="11">
        <v>57.69</v>
      </c>
      <c r="N29" s="11" t="str">
        <f t="shared" si="0"/>
        <v>Pass</v>
      </c>
      <c r="O29" s="13" t="s">
        <v>5</v>
      </c>
      <c r="P29" s="13" t="str">
        <f>IF(AND(Placement_Data_Full_Class!$J29="Yes",Placement_Data_Full_Class!$H29&gt;70%),"High Priority", "Standard")</f>
        <v>Standard</v>
      </c>
      <c r="Q29" s="12">
        <v>265000</v>
      </c>
      <c r="R29" s="10">
        <f>IF(Placement_Data_Full_Class!$K29&gt;90,Placement_Data_Full_Class!$Q29+(Placement_Data_Full_Class!$Q29*5%),Placement_Data_Full_Class!$Q29)</f>
        <v>265000</v>
      </c>
    </row>
    <row r="30" spans="1:18" x14ac:dyDescent="0.3">
      <c r="A30" s="10">
        <v>29</v>
      </c>
      <c r="B30" s="10" t="s">
        <v>29</v>
      </c>
      <c r="C30" s="11">
        <v>76.760000000000005</v>
      </c>
      <c r="D30" s="10" t="s">
        <v>0</v>
      </c>
      <c r="E30" s="2">
        <v>76.5</v>
      </c>
      <c r="F30" s="10" t="s">
        <v>0</v>
      </c>
      <c r="G30" s="10" t="s">
        <v>1</v>
      </c>
      <c r="H30" s="11">
        <v>67.5</v>
      </c>
      <c r="I30" s="10" t="s">
        <v>11</v>
      </c>
      <c r="J30" s="10" t="s">
        <v>8</v>
      </c>
      <c r="K30" s="11">
        <v>73.349999999999994</v>
      </c>
      <c r="L30" s="10" t="s">
        <v>9</v>
      </c>
      <c r="M30" s="11">
        <v>64.150000000000006</v>
      </c>
      <c r="N30" s="11" t="str">
        <f t="shared" si="0"/>
        <v>First Class</v>
      </c>
      <c r="O30" s="10" t="s">
        <v>5</v>
      </c>
      <c r="P30" s="10" t="str">
        <f>IF(AND(Placement_Data_Full_Class!$J30="Yes",Placement_Data_Full_Class!$H30&gt;70%),"High Priority", "Standard")</f>
        <v>High Priority</v>
      </c>
      <c r="Q30" s="12">
        <v>350000</v>
      </c>
      <c r="R30" s="10">
        <f>IF(Placement_Data_Full_Class!$K30&gt;90,Placement_Data_Full_Class!$Q30+(Placement_Data_Full_Class!$Q30*5%),Placement_Data_Full_Class!$Q30)</f>
        <v>350000</v>
      </c>
    </row>
    <row r="31" spans="1:18" x14ac:dyDescent="0.3">
      <c r="A31" s="13">
        <v>30</v>
      </c>
      <c r="B31" s="13" t="s">
        <v>29</v>
      </c>
      <c r="C31" s="14">
        <v>62</v>
      </c>
      <c r="D31" s="13" t="s">
        <v>6</v>
      </c>
      <c r="E31" s="3">
        <v>67</v>
      </c>
      <c r="F31" s="13" t="s">
        <v>6</v>
      </c>
      <c r="G31" s="13" t="s">
        <v>1</v>
      </c>
      <c r="H31" s="14">
        <v>58</v>
      </c>
      <c r="I31" s="13" t="s">
        <v>11</v>
      </c>
      <c r="J31" s="13" t="s">
        <v>3</v>
      </c>
      <c r="K31" s="14">
        <v>77</v>
      </c>
      <c r="L31" s="13" t="s">
        <v>9</v>
      </c>
      <c r="M31" s="14">
        <v>51.29</v>
      </c>
      <c r="N31" s="14" t="str">
        <f t="shared" si="0"/>
        <v>Pass</v>
      </c>
      <c r="O31" s="13" t="s">
        <v>12</v>
      </c>
      <c r="P31" s="13" t="str">
        <f>IF(AND(Placement_Data_Full_Class!$J31="Yes",Placement_Data_Full_Class!$H31&gt;70%),"High Priority", "Standard")</f>
        <v>Standard</v>
      </c>
      <c r="Q31" s="15">
        <v>0</v>
      </c>
      <c r="R31" s="10">
        <f>IF(Placement_Data_Full_Class!$K31&gt;90,Placement_Data_Full_Class!$Q31+(Placement_Data_Full_Class!$Q31*5%),Placement_Data_Full_Class!$Q31)</f>
        <v>0</v>
      </c>
    </row>
    <row r="32" spans="1:18" x14ac:dyDescent="0.3">
      <c r="A32" s="10">
        <v>31</v>
      </c>
      <c r="B32" s="10" t="s">
        <v>30</v>
      </c>
      <c r="C32" s="11">
        <v>64</v>
      </c>
      <c r="D32" s="10" t="s">
        <v>6</v>
      </c>
      <c r="E32" s="2">
        <v>73.5</v>
      </c>
      <c r="F32" s="10" t="s">
        <v>6</v>
      </c>
      <c r="G32" s="10" t="s">
        <v>1</v>
      </c>
      <c r="H32" s="11">
        <v>73</v>
      </c>
      <c r="I32" s="10" t="s">
        <v>11</v>
      </c>
      <c r="J32" s="10" t="s">
        <v>3</v>
      </c>
      <c r="K32" s="11">
        <v>52</v>
      </c>
      <c r="L32" s="10" t="s">
        <v>4</v>
      </c>
      <c r="M32" s="11">
        <v>56.7</v>
      </c>
      <c r="N32" s="11" t="str">
        <f t="shared" si="0"/>
        <v>Pass</v>
      </c>
      <c r="O32" s="10" t="s">
        <v>5</v>
      </c>
      <c r="P32" s="10" t="str">
        <f>IF(AND(Placement_Data_Full_Class!$J32="Yes",Placement_Data_Full_Class!$H32&gt;70%),"High Priority", "Standard")</f>
        <v>Standard</v>
      </c>
      <c r="Q32" s="12">
        <v>250000</v>
      </c>
      <c r="R32" s="10">
        <f>IF(Placement_Data_Full_Class!$K32&gt;90,Placement_Data_Full_Class!$Q32+(Placement_Data_Full_Class!$Q32*5%),Placement_Data_Full_Class!$Q32)</f>
        <v>250000</v>
      </c>
    </row>
    <row r="33" spans="1:18" x14ac:dyDescent="0.3">
      <c r="A33" s="13">
        <v>32</v>
      </c>
      <c r="B33" s="13" t="s">
        <v>30</v>
      </c>
      <c r="C33" s="14">
        <v>67</v>
      </c>
      <c r="D33" s="13" t="s">
        <v>6</v>
      </c>
      <c r="E33" s="3">
        <v>53</v>
      </c>
      <c r="F33" s="13" t="s">
        <v>6</v>
      </c>
      <c r="G33" s="13" t="s">
        <v>7</v>
      </c>
      <c r="H33" s="14">
        <v>65</v>
      </c>
      <c r="I33" s="13" t="s">
        <v>2</v>
      </c>
      <c r="J33" s="13" t="s">
        <v>3</v>
      </c>
      <c r="K33" s="14">
        <v>64</v>
      </c>
      <c r="L33" s="13" t="s">
        <v>4</v>
      </c>
      <c r="M33" s="14">
        <v>58.32</v>
      </c>
      <c r="N33" s="14" t="str">
        <f t="shared" si="0"/>
        <v>Pass</v>
      </c>
      <c r="O33" s="13" t="s">
        <v>12</v>
      </c>
      <c r="P33" s="13" t="str">
        <f>IF(AND(Placement_Data_Full_Class!$J33="Yes",Placement_Data_Full_Class!$H33&gt;70%),"High Priority", "Standard")</f>
        <v>Standard</v>
      </c>
      <c r="Q33" s="15">
        <v>0</v>
      </c>
      <c r="R33" s="10">
        <f>IF(Placement_Data_Full_Class!$K33&gt;90,Placement_Data_Full_Class!$Q33+(Placement_Data_Full_Class!$Q33*5%),Placement_Data_Full_Class!$Q33)</f>
        <v>0</v>
      </c>
    </row>
    <row r="34" spans="1:18" x14ac:dyDescent="0.3">
      <c r="A34" s="10">
        <v>33</v>
      </c>
      <c r="B34" s="10" t="s">
        <v>30</v>
      </c>
      <c r="C34" s="11">
        <v>61</v>
      </c>
      <c r="D34" s="10" t="s">
        <v>6</v>
      </c>
      <c r="E34" s="2">
        <v>81</v>
      </c>
      <c r="F34" s="10" t="s">
        <v>6</v>
      </c>
      <c r="G34" s="10" t="s">
        <v>1</v>
      </c>
      <c r="H34" s="11">
        <v>66.400000000000006</v>
      </c>
      <c r="I34" s="10" t="s">
        <v>11</v>
      </c>
      <c r="J34" s="10" t="s">
        <v>3</v>
      </c>
      <c r="K34" s="11">
        <v>50.89</v>
      </c>
      <c r="L34" s="10" t="s">
        <v>4</v>
      </c>
      <c r="M34" s="11">
        <v>62.21</v>
      </c>
      <c r="N34" s="11" t="str">
        <f t="shared" si="0"/>
        <v>First Class</v>
      </c>
      <c r="O34" s="10" t="s">
        <v>5</v>
      </c>
      <c r="P34" s="10" t="str">
        <f>IF(AND(Placement_Data_Full_Class!$J34="Yes",Placement_Data_Full_Class!$H34&gt;70%),"High Priority", "Standard")</f>
        <v>Standard</v>
      </c>
      <c r="Q34" s="12">
        <v>278000</v>
      </c>
      <c r="R34" s="10">
        <f>IF(Placement_Data_Full_Class!$K34&gt;90,Placement_Data_Full_Class!$Q34+(Placement_Data_Full_Class!$Q34*5%),Placement_Data_Full_Class!$Q34)</f>
        <v>278000</v>
      </c>
    </row>
    <row r="35" spans="1:18" x14ac:dyDescent="0.3">
      <c r="A35" s="10">
        <v>34</v>
      </c>
      <c r="B35" s="10" t="s">
        <v>30</v>
      </c>
      <c r="C35" s="11">
        <v>87</v>
      </c>
      <c r="D35" s="10" t="s">
        <v>0</v>
      </c>
      <c r="E35" s="2">
        <v>65</v>
      </c>
      <c r="F35" s="10" t="s">
        <v>0</v>
      </c>
      <c r="G35" s="10" t="s">
        <v>7</v>
      </c>
      <c r="H35" s="11">
        <v>81</v>
      </c>
      <c r="I35" s="10" t="s">
        <v>11</v>
      </c>
      <c r="J35" s="10" t="s">
        <v>8</v>
      </c>
      <c r="K35" s="11">
        <v>88</v>
      </c>
      <c r="L35" s="10" t="s">
        <v>9</v>
      </c>
      <c r="M35" s="11">
        <v>72.78</v>
      </c>
      <c r="N35" s="11" t="str">
        <f t="shared" si="0"/>
        <v>First Class</v>
      </c>
      <c r="O35" s="13" t="s">
        <v>5</v>
      </c>
      <c r="P35" s="13" t="str">
        <f>IF(AND(Placement_Data_Full_Class!$J35="Yes",Placement_Data_Full_Class!$H35&gt;70%),"High Priority", "Standard")</f>
        <v>High Priority</v>
      </c>
      <c r="Q35" s="12">
        <v>260000</v>
      </c>
      <c r="R35" s="10">
        <f>IF(Placement_Data_Full_Class!$K35&gt;90,Placement_Data_Full_Class!$Q35+(Placement_Data_Full_Class!$Q35*5%),Placement_Data_Full_Class!$Q35)</f>
        <v>260000</v>
      </c>
    </row>
    <row r="36" spans="1:18" x14ac:dyDescent="0.3">
      <c r="A36" s="10">
        <v>35</v>
      </c>
      <c r="B36" s="10" t="s">
        <v>29</v>
      </c>
      <c r="C36" s="11">
        <v>62</v>
      </c>
      <c r="D36" s="10" t="s">
        <v>0</v>
      </c>
      <c r="E36" s="2">
        <v>51</v>
      </c>
      <c r="F36" s="10" t="s">
        <v>0</v>
      </c>
      <c r="G36" s="10" t="s">
        <v>7</v>
      </c>
      <c r="H36" s="11">
        <v>52</v>
      </c>
      <c r="I36" s="10" t="s">
        <v>0</v>
      </c>
      <c r="J36" s="10" t="s">
        <v>3</v>
      </c>
      <c r="K36" s="11">
        <v>68.44</v>
      </c>
      <c r="L36" s="10" t="s">
        <v>4</v>
      </c>
      <c r="M36" s="11">
        <v>62.77</v>
      </c>
      <c r="N36" s="11" t="str">
        <f t="shared" si="0"/>
        <v>First Class</v>
      </c>
      <c r="O36" s="10" t="s">
        <v>12</v>
      </c>
      <c r="P36" s="10" t="str">
        <f>IF(AND(Placement_Data_Full_Class!$J36="Yes",Placement_Data_Full_Class!$H36&gt;70%),"High Priority", "Standard")</f>
        <v>Standard</v>
      </c>
      <c r="Q36" s="12">
        <v>0</v>
      </c>
      <c r="R36" s="10">
        <f>IF(Placement_Data_Full_Class!$K36&gt;90,Placement_Data_Full_Class!$Q36+(Placement_Data_Full_Class!$Q36*5%),Placement_Data_Full_Class!$Q36)</f>
        <v>0</v>
      </c>
    </row>
    <row r="37" spans="1:18" x14ac:dyDescent="0.3">
      <c r="A37" s="13">
        <v>36</v>
      </c>
      <c r="B37" s="13" t="s">
        <v>30</v>
      </c>
      <c r="C37" s="14">
        <v>69</v>
      </c>
      <c r="D37" s="13" t="s">
        <v>6</v>
      </c>
      <c r="E37" s="3">
        <v>78</v>
      </c>
      <c r="F37" s="13" t="s">
        <v>6</v>
      </c>
      <c r="G37" s="13" t="s">
        <v>1</v>
      </c>
      <c r="H37" s="14">
        <v>72</v>
      </c>
      <c r="I37" s="13" t="s">
        <v>11</v>
      </c>
      <c r="J37" s="13" t="s">
        <v>3</v>
      </c>
      <c r="K37" s="14">
        <v>71</v>
      </c>
      <c r="L37" s="13" t="s">
        <v>4</v>
      </c>
      <c r="M37" s="14">
        <v>62.74</v>
      </c>
      <c r="N37" s="14" t="str">
        <f t="shared" si="0"/>
        <v>First Class</v>
      </c>
      <c r="O37" s="13" t="s">
        <v>5</v>
      </c>
      <c r="P37" s="13" t="str">
        <f>IF(AND(Placement_Data_Full_Class!$J37="Yes",Placement_Data_Full_Class!$H37&gt;70%),"High Priority", "Standard")</f>
        <v>Standard</v>
      </c>
      <c r="Q37" s="15">
        <v>300000</v>
      </c>
      <c r="R37" s="10">
        <f>IF(Placement_Data_Full_Class!$K37&gt;90,Placement_Data_Full_Class!$Q37+(Placement_Data_Full_Class!$Q37*5%),Placement_Data_Full_Class!$Q37)</f>
        <v>300000</v>
      </c>
    </row>
    <row r="38" spans="1:18" x14ac:dyDescent="0.3">
      <c r="A38" s="10">
        <v>37</v>
      </c>
      <c r="B38" s="10" t="s">
        <v>29</v>
      </c>
      <c r="C38" s="11">
        <v>51</v>
      </c>
      <c r="D38" s="10" t="s">
        <v>6</v>
      </c>
      <c r="E38" s="2">
        <v>44</v>
      </c>
      <c r="F38" s="10" t="s">
        <v>6</v>
      </c>
      <c r="G38" s="10" t="s">
        <v>1</v>
      </c>
      <c r="H38" s="11">
        <v>57</v>
      </c>
      <c r="I38" s="10" t="s">
        <v>11</v>
      </c>
      <c r="J38" s="10" t="s">
        <v>3</v>
      </c>
      <c r="K38" s="11">
        <v>64</v>
      </c>
      <c r="L38" s="10" t="s">
        <v>9</v>
      </c>
      <c r="M38" s="11">
        <v>51.45</v>
      </c>
      <c r="N38" s="11" t="str">
        <f t="shared" si="0"/>
        <v>Pass</v>
      </c>
      <c r="O38" s="10" t="s">
        <v>12</v>
      </c>
      <c r="P38" s="10" t="str">
        <f>IF(AND(Placement_Data_Full_Class!$J38="Yes",Placement_Data_Full_Class!$H38&gt;70%),"High Priority", "Standard")</f>
        <v>Standard</v>
      </c>
      <c r="Q38" s="12">
        <v>0</v>
      </c>
      <c r="R38" s="10">
        <f>IF(Placement_Data_Full_Class!$K38&gt;90,Placement_Data_Full_Class!$Q38+(Placement_Data_Full_Class!$Q38*5%),Placement_Data_Full_Class!$Q38)</f>
        <v>0</v>
      </c>
    </row>
    <row r="39" spans="1:18" x14ac:dyDescent="0.3">
      <c r="A39" s="13">
        <v>38</v>
      </c>
      <c r="B39" s="13" t="s">
        <v>30</v>
      </c>
      <c r="C39" s="14">
        <v>79</v>
      </c>
      <c r="D39" s="13" t="s">
        <v>6</v>
      </c>
      <c r="E39" s="3">
        <v>76</v>
      </c>
      <c r="F39" s="13" t="s">
        <v>6</v>
      </c>
      <c r="G39" s="13" t="s">
        <v>7</v>
      </c>
      <c r="H39" s="14">
        <v>65.599999999999994</v>
      </c>
      <c r="I39" s="13" t="s">
        <v>2</v>
      </c>
      <c r="J39" s="13" t="s">
        <v>3</v>
      </c>
      <c r="K39" s="14">
        <v>58</v>
      </c>
      <c r="L39" s="13" t="s">
        <v>4</v>
      </c>
      <c r="M39" s="14">
        <v>55.47</v>
      </c>
      <c r="N39" s="14" t="str">
        <f t="shared" si="0"/>
        <v>Pass</v>
      </c>
      <c r="O39" s="13" t="s">
        <v>5</v>
      </c>
      <c r="P39" s="13" t="str">
        <f>IF(AND(Placement_Data_Full_Class!$J39="Yes",Placement_Data_Full_Class!$H39&gt;70%),"High Priority", "Standard")</f>
        <v>Standard</v>
      </c>
      <c r="Q39" s="15">
        <v>320000</v>
      </c>
      <c r="R39" s="10">
        <f>IF(Placement_Data_Full_Class!$K39&gt;90,Placement_Data_Full_Class!$Q39+(Placement_Data_Full_Class!$Q39*5%),Placement_Data_Full_Class!$Q39)</f>
        <v>320000</v>
      </c>
    </row>
    <row r="40" spans="1:18" x14ac:dyDescent="0.3">
      <c r="A40" s="10">
        <v>39</v>
      </c>
      <c r="B40" s="10" t="s">
        <v>30</v>
      </c>
      <c r="C40" s="11">
        <v>73</v>
      </c>
      <c r="D40" s="10" t="s">
        <v>0</v>
      </c>
      <c r="E40" s="2">
        <v>58</v>
      </c>
      <c r="F40" s="10" t="s">
        <v>0</v>
      </c>
      <c r="G40" s="10" t="s">
        <v>7</v>
      </c>
      <c r="H40" s="11">
        <v>66</v>
      </c>
      <c r="I40" s="10" t="s">
        <v>11</v>
      </c>
      <c r="J40" s="10" t="s">
        <v>3</v>
      </c>
      <c r="K40" s="11">
        <v>53.7</v>
      </c>
      <c r="L40" s="10" t="s">
        <v>4</v>
      </c>
      <c r="M40" s="11">
        <v>56.86</v>
      </c>
      <c r="N40" s="11" t="str">
        <f t="shared" si="0"/>
        <v>Pass</v>
      </c>
      <c r="O40" s="10" t="s">
        <v>5</v>
      </c>
      <c r="P40" s="10" t="str">
        <f>IF(AND(Placement_Data_Full_Class!$J40="Yes",Placement_Data_Full_Class!$H40&gt;70%),"High Priority", "Standard")</f>
        <v>Standard</v>
      </c>
      <c r="Q40" s="12">
        <v>240000</v>
      </c>
      <c r="R40" s="10">
        <f>IF(Placement_Data_Full_Class!$K40&gt;90,Placement_Data_Full_Class!$Q40+(Placement_Data_Full_Class!$Q40*5%),Placement_Data_Full_Class!$Q40)</f>
        <v>240000</v>
      </c>
    </row>
    <row r="41" spans="1:18" x14ac:dyDescent="0.3">
      <c r="A41" s="10">
        <v>40</v>
      </c>
      <c r="B41" s="10" t="s">
        <v>29</v>
      </c>
      <c r="C41" s="11">
        <v>81</v>
      </c>
      <c r="D41" s="10" t="s">
        <v>0</v>
      </c>
      <c r="E41" s="2">
        <v>68</v>
      </c>
      <c r="F41" s="10" t="s">
        <v>0</v>
      </c>
      <c r="G41" s="10" t="s">
        <v>7</v>
      </c>
      <c r="H41" s="11">
        <v>64</v>
      </c>
      <c r="I41" s="10" t="s">
        <v>2</v>
      </c>
      <c r="J41" s="10" t="s">
        <v>3</v>
      </c>
      <c r="K41" s="11">
        <v>93</v>
      </c>
      <c r="L41" s="10" t="s">
        <v>9</v>
      </c>
      <c r="M41" s="11">
        <v>62.56</v>
      </c>
      <c r="N41" s="11" t="str">
        <f t="shared" si="0"/>
        <v>First Class</v>
      </c>
      <c r="O41" s="13" t="s">
        <v>5</v>
      </c>
      <c r="P41" s="13" t="str">
        <f>IF(AND(Placement_Data_Full_Class!$J41="Yes",Placement_Data_Full_Class!$H41&gt;70%),"High Priority", "Standard")</f>
        <v>Standard</v>
      </c>
      <c r="Q41" s="12">
        <v>411000</v>
      </c>
      <c r="R41" s="10">
        <f>IF(Placement_Data_Full_Class!$K41&gt;90,Placement_Data_Full_Class!$Q41+(Placement_Data_Full_Class!$Q41*5%),Placement_Data_Full_Class!$Q41)</f>
        <v>431550</v>
      </c>
    </row>
    <row r="42" spans="1:18" x14ac:dyDescent="0.3">
      <c r="A42" s="10">
        <v>41</v>
      </c>
      <c r="B42" s="10" t="s">
        <v>30</v>
      </c>
      <c r="C42" s="11">
        <v>78</v>
      </c>
      <c r="D42" s="10" t="s">
        <v>6</v>
      </c>
      <c r="E42" s="2">
        <v>77</v>
      </c>
      <c r="F42" s="10" t="s">
        <v>0</v>
      </c>
      <c r="G42" s="10" t="s">
        <v>1</v>
      </c>
      <c r="H42" s="11">
        <v>80</v>
      </c>
      <c r="I42" s="10" t="s">
        <v>11</v>
      </c>
      <c r="J42" s="10" t="s">
        <v>3</v>
      </c>
      <c r="K42" s="11">
        <v>60</v>
      </c>
      <c r="L42" s="10" t="s">
        <v>9</v>
      </c>
      <c r="M42" s="11">
        <v>66.72</v>
      </c>
      <c r="N42" s="11" t="str">
        <f t="shared" si="0"/>
        <v>First Class</v>
      </c>
      <c r="O42" s="10" t="s">
        <v>5</v>
      </c>
      <c r="P42" s="10" t="str">
        <f>IF(AND(Placement_Data_Full_Class!$J42="Yes",Placement_Data_Full_Class!$H42&gt;70%),"High Priority", "Standard")</f>
        <v>Standard</v>
      </c>
      <c r="Q42" s="12">
        <v>287000</v>
      </c>
      <c r="R42" s="10">
        <f>IF(Placement_Data_Full_Class!$K42&gt;90,Placement_Data_Full_Class!$Q42+(Placement_Data_Full_Class!$Q42*5%),Placement_Data_Full_Class!$Q42)</f>
        <v>287000</v>
      </c>
    </row>
    <row r="43" spans="1:18" x14ac:dyDescent="0.3">
      <c r="A43" s="10">
        <v>42</v>
      </c>
      <c r="B43" s="10" t="s">
        <v>30</v>
      </c>
      <c r="C43" s="11">
        <v>74</v>
      </c>
      <c r="D43" s="10" t="s">
        <v>0</v>
      </c>
      <c r="E43" s="2">
        <v>63.16</v>
      </c>
      <c r="F43" s="10" t="s">
        <v>0</v>
      </c>
      <c r="G43" s="10" t="s">
        <v>1</v>
      </c>
      <c r="H43" s="11">
        <v>65</v>
      </c>
      <c r="I43" s="10" t="s">
        <v>11</v>
      </c>
      <c r="J43" s="10" t="s">
        <v>8</v>
      </c>
      <c r="K43" s="11">
        <v>65</v>
      </c>
      <c r="L43" s="10" t="s">
        <v>4</v>
      </c>
      <c r="M43" s="11">
        <v>69.760000000000005</v>
      </c>
      <c r="N43" s="11" t="str">
        <f t="shared" si="0"/>
        <v>First Class</v>
      </c>
      <c r="O43" s="13" t="s">
        <v>12</v>
      </c>
      <c r="P43" s="13" t="str">
        <f>IF(AND(Placement_Data_Full_Class!$J43="Yes",Placement_Data_Full_Class!$H43&gt;70%),"High Priority", "Standard")</f>
        <v>High Priority</v>
      </c>
      <c r="Q43" s="12">
        <v>0</v>
      </c>
      <c r="R43" s="10">
        <f>IF(Placement_Data_Full_Class!$K43&gt;90,Placement_Data_Full_Class!$Q43+(Placement_Data_Full_Class!$Q43*5%),Placement_Data_Full_Class!$Q43)</f>
        <v>0</v>
      </c>
    </row>
    <row r="44" spans="1:18" x14ac:dyDescent="0.3">
      <c r="A44" s="10">
        <v>43</v>
      </c>
      <c r="B44" s="10" t="s">
        <v>29</v>
      </c>
      <c r="C44" s="11">
        <v>49</v>
      </c>
      <c r="D44" s="10" t="s">
        <v>0</v>
      </c>
      <c r="E44" s="2">
        <v>39</v>
      </c>
      <c r="F44" s="10" t="s">
        <v>6</v>
      </c>
      <c r="G44" s="10" t="s">
        <v>7</v>
      </c>
      <c r="H44" s="11">
        <v>65</v>
      </c>
      <c r="I44" s="10" t="s">
        <v>0</v>
      </c>
      <c r="J44" s="10" t="s">
        <v>3</v>
      </c>
      <c r="K44" s="11">
        <v>63</v>
      </c>
      <c r="L44" s="10" t="s">
        <v>9</v>
      </c>
      <c r="M44" s="11">
        <v>51.21</v>
      </c>
      <c r="N44" s="11" t="str">
        <f t="shared" si="0"/>
        <v>Pass</v>
      </c>
      <c r="O44" s="10" t="s">
        <v>12</v>
      </c>
      <c r="P44" s="10" t="str">
        <f>IF(AND(Placement_Data_Full_Class!$J44="Yes",Placement_Data_Full_Class!$H44&gt;70%),"High Priority", "Standard")</f>
        <v>Standard</v>
      </c>
      <c r="Q44" s="12">
        <v>0</v>
      </c>
      <c r="R44" s="10">
        <f>IF(Placement_Data_Full_Class!$K44&gt;90,Placement_Data_Full_Class!$Q44+(Placement_Data_Full_Class!$Q44*5%),Placement_Data_Full_Class!$Q44)</f>
        <v>0</v>
      </c>
    </row>
    <row r="45" spans="1:18" x14ac:dyDescent="0.3">
      <c r="A45" s="10">
        <v>44</v>
      </c>
      <c r="B45" s="10" t="s">
        <v>29</v>
      </c>
      <c r="C45" s="11">
        <v>87</v>
      </c>
      <c r="D45" s="10" t="s">
        <v>0</v>
      </c>
      <c r="E45" s="2">
        <v>87</v>
      </c>
      <c r="F45" s="10" t="s">
        <v>0</v>
      </c>
      <c r="G45" s="10" t="s">
        <v>1</v>
      </c>
      <c r="H45" s="11">
        <v>68</v>
      </c>
      <c r="I45" s="10" t="s">
        <v>11</v>
      </c>
      <c r="J45" s="10" t="s">
        <v>3</v>
      </c>
      <c r="K45" s="11">
        <v>95</v>
      </c>
      <c r="L45" s="10" t="s">
        <v>4</v>
      </c>
      <c r="M45" s="11">
        <v>62.9</v>
      </c>
      <c r="N45" s="11" t="str">
        <f t="shared" si="0"/>
        <v>First Class</v>
      </c>
      <c r="O45" s="13" t="s">
        <v>5</v>
      </c>
      <c r="P45" s="13" t="str">
        <f>IF(AND(Placement_Data_Full_Class!$J45="Yes",Placement_Data_Full_Class!$H45&gt;70%),"High Priority", "Standard")</f>
        <v>Standard</v>
      </c>
      <c r="Q45" s="12">
        <v>300000</v>
      </c>
      <c r="R45" s="10">
        <f>IF(Placement_Data_Full_Class!$K45&gt;90,Placement_Data_Full_Class!$Q45+(Placement_Data_Full_Class!$Q45*5%),Placement_Data_Full_Class!$Q45)</f>
        <v>315000</v>
      </c>
    </row>
    <row r="46" spans="1:18" x14ac:dyDescent="0.3">
      <c r="A46" s="10">
        <v>45</v>
      </c>
      <c r="B46" s="10" t="s">
        <v>30</v>
      </c>
      <c r="C46" s="11">
        <v>77</v>
      </c>
      <c r="D46" s="10" t="s">
        <v>0</v>
      </c>
      <c r="E46" s="2">
        <v>73</v>
      </c>
      <c r="F46" s="10" t="s">
        <v>0</v>
      </c>
      <c r="G46" s="10" t="s">
        <v>1</v>
      </c>
      <c r="H46" s="11">
        <v>81</v>
      </c>
      <c r="I46" s="10" t="s">
        <v>11</v>
      </c>
      <c r="J46" s="10" t="s">
        <v>8</v>
      </c>
      <c r="K46" s="11">
        <v>89</v>
      </c>
      <c r="L46" s="10" t="s">
        <v>9</v>
      </c>
      <c r="M46" s="11">
        <v>69.7</v>
      </c>
      <c r="N46" s="11" t="str">
        <f t="shared" si="0"/>
        <v>First Class</v>
      </c>
      <c r="O46" s="10" t="s">
        <v>5</v>
      </c>
      <c r="P46" s="10" t="str">
        <f>IF(AND(Placement_Data_Full_Class!$J46="Yes",Placement_Data_Full_Class!$H46&gt;70%),"High Priority", "Standard")</f>
        <v>High Priority</v>
      </c>
      <c r="Q46" s="12">
        <v>200000</v>
      </c>
      <c r="R46" s="10">
        <f>IF(Placement_Data_Full_Class!$K46&gt;90,Placement_Data_Full_Class!$Q46+(Placement_Data_Full_Class!$Q46*5%),Placement_Data_Full_Class!$Q46)</f>
        <v>200000</v>
      </c>
    </row>
    <row r="47" spans="1:18" x14ac:dyDescent="0.3">
      <c r="A47" s="13">
        <v>46</v>
      </c>
      <c r="B47" s="13" t="s">
        <v>30</v>
      </c>
      <c r="C47" s="14">
        <v>76</v>
      </c>
      <c r="D47" s="13" t="s">
        <v>6</v>
      </c>
      <c r="E47" s="3">
        <v>64</v>
      </c>
      <c r="F47" s="13" t="s">
        <v>6</v>
      </c>
      <c r="G47" s="13" t="s">
        <v>7</v>
      </c>
      <c r="H47" s="14">
        <v>72</v>
      </c>
      <c r="I47" s="13" t="s">
        <v>2</v>
      </c>
      <c r="J47" s="13" t="s">
        <v>3</v>
      </c>
      <c r="K47" s="14">
        <v>58</v>
      </c>
      <c r="L47" s="13" t="s">
        <v>4</v>
      </c>
      <c r="M47" s="14">
        <v>66.53</v>
      </c>
      <c r="N47" s="14" t="str">
        <f t="shared" si="0"/>
        <v>First Class</v>
      </c>
      <c r="O47" s="13" t="s">
        <v>12</v>
      </c>
      <c r="P47" s="13" t="str">
        <f>IF(AND(Placement_Data_Full_Class!$J47="Yes",Placement_Data_Full_Class!$H47&gt;70%),"High Priority", "Standard")</f>
        <v>Standard</v>
      </c>
      <c r="Q47" s="15">
        <v>0</v>
      </c>
      <c r="R47" s="10">
        <f>IF(Placement_Data_Full_Class!$K47&gt;90,Placement_Data_Full_Class!$Q47+(Placement_Data_Full_Class!$Q47*5%),Placement_Data_Full_Class!$Q47)</f>
        <v>0</v>
      </c>
    </row>
    <row r="48" spans="1:18" x14ac:dyDescent="0.3">
      <c r="A48" s="10">
        <v>47</v>
      </c>
      <c r="B48" s="10" t="s">
        <v>30</v>
      </c>
      <c r="C48" s="11">
        <v>70.89</v>
      </c>
      <c r="D48" s="10" t="s">
        <v>0</v>
      </c>
      <c r="E48" s="2">
        <v>71.98</v>
      </c>
      <c r="F48" s="10" t="s">
        <v>0</v>
      </c>
      <c r="G48" s="10" t="s">
        <v>7</v>
      </c>
      <c r="H48" s="11">
        <v>65.599999999999994</v>
      </c>
      <c r="I48" s="10" t="s">
        <v>11</v>
      </c>
      <c r="J48" s="10" t="s">
        <v>3</v>
      </c>
      <c r="K48" s="11">
        <v>68</v>
      </c>
      <c r="L48" s="10" t="s">
        <v>4</v>
      </c>
      <c r="M48" s="11">
        <v>71.63</v>
      </c>
      <c r="N48" s="11" t="str">
        <f t="shared" si="0"/>
        <v>First Class</v>
      </c>
      <c r="O48" s="10" t="s">
        <v>12</v>
      </c>
      <c r="P48" s="10" t="str">
        <f>IF(AND(Placement_Data_Full_Class!$J48="Yes",Placement_Data_Full_Class!$H48&gt;70%),"High Priority", "Standard")</f>
        <v>Standard</v>
      </c>
      <c r="Q48" s="12">
        <v>0</v>
      </c>
      <c r="R48" s="10">
        <f>IF(Placement_Data_Full_Class!$K48&gt;90,Placement_Data_Full_Class!$Q48+(Placement_Data_Full_Class!$Q48*5%),Placement_Data_Full_Class!$Q48)</f>
        <v>0</v>
      </c>
    </row>
    <row r="49" spans="1:18" x14ac:dyDescent="0.3">
      <c r="A49" s="13">
        <v>48</v>
      </c>
      <c r="B49" s="13" t="s">
        <v>29</v>
      </c>
      <c r="C49" s="14">
        <v>63</v>
      </c>
      <c r="D49" s="13" t="s">
        <v>6</v>
      </c>
      <c r="E49" s="3">
        <v>60</v>
      </c>
      <c r="F49" s="13" t="s">
        <v>6</v>
      </c>
      <c r="G49" s="13" t="s">
        <v>1</v>
      </c>
      <c r="H49" s="14">
        <v>57</v>
      </c>
      <c r="I49" s="13" t="s">
        <v>11</v>
      </c>
      <c r="J49" s="13" t="s">
        <v>8</v>
      </c>
      <c r="K49" s="14">
        <v>78</v>
      </c>
      <c r="L49" s="13" t="s">
        <v>9</v>
      </c>
      <c r="M49" s="14">
        <v>54.55</v>
      </c>
      <c r="N49" s="14" t="str">
        <f t="shared" si="0"/>
        <v>Pass</v>
      </c>
      <c r="O49" s="13" t="s">
        <v>5</v>
      </c>
      <c r="P49" s="13" t="str">
        <f>IF(AND(Placement_Data_Full_Class!$J49="Yes",Placement_Data_Full_Class!$H49&gt;70%),"High Priority", "Standard")</f>
        <v>High Priority</v>
      </c>
      <c r="Q49" s="15">
        <v>204000</v>
      </c>
      <c r="R49" s="10">
        <f>IF(Placement_Data_Full_Class!$K49&gt;90,Placement_Data_Full_Class!$Q49+(Placement_Data_Full_Class!$Q49*5%),Placement_Data_Full_Class!$Q49)</f>
        <v>204000</v>
      </c>
    </row>
    <row r="50" spans="1:18" x14ac:dyDescent="0.3">
      <c r="A50" s="10">
        <v>49</v>
      </c>
      <c r="B50" s="10" t="s">
        <v>29</v>
      </c>
      <c r="C50" s="11">
        <v>63</v>
      </c>
      <c r="D50" s="10" t="s">
        <v>0</v>
      </c>
      <c r="E50" s="2">
        <v>62</v>
      </c>
      <c r="F50" s="10" t="s">
        <v>0</v>
      </c>
      <c r="G50" s="10" t="s">
        <v>1</v>
      </c>
      <c r="H50" s="11">
        <v>68</v>
      </c>
      <c r="I50" s="10" t="s">
        <v>11</v>
      </c>
      <c r="J50" s="10" t="s">
        <v>3</v>
      </c>
      <c r="K50" s="11">
        <v>64</v>
      </c>
      <c r="L50" s="10" t="s">
        <v>9</v>
      </c>
      <c r="M50" s="11">
        <v>62.46</v>
      </c>
      <c r="N50" s="11" t="str">
        <f t="shared" si="0"/>
        <v>First Class</v>
      </c>
      <c r="O50" s="10" t="s">
        <v>5</v>
      </c>
      <c r="P50" s="10" t="str">
        <f>IF(AND(Placement_Data_Full_Class!$J50="Yes",Placement_Data_Full_Class!$H50&gt;70%),"High Priority", "Standard")</f>
        <v>Standard</v>
      </c>
      <c r="Q50" s="12">
        <v>250000</v>
      </c>
      <c r="R50" s="10">
        <f>IF(Placement_Data_Full_Class!$K50&gt;90,Placement_Data_Full_Class!$Q50+(Placement_Data_Full_Class!$Q50*5%),Placement_Data_Full_Class!$Q50)</f>
        <v>250000</v>
      </c>
    </row>
    <row r="51" spans="1:18" x14ac:dyDescent="0.3">
      <c r="A51" s="10">
        <v>50</v>
      </c>
      <c r="B51" s="10" t="s">
        <v>30</v>
      </c>
      <c r="C51" s="11">
        <v>50</v>
      </c>
      <c r="D51" s="10" t="s">
        <v>0</v>
      </c>
      <c r="E51" s="2">
        <v>37</v>
      </c>
      <c r="F51" s="10" t="s">
        <v>0</v>
      </c>
      <c r="G51" s="10" t="s">
        <v>10</v>
      </c>
      <c r="H51" s="11">
        <v>52</v>
      </c>
      <c r="I51" s="10" t="s">
        <v>0</v>
      </c>
      <c r="J51" s="10" t="s">
        <v>3</v>
      </c>
      <c r="K51" s="11">
        <v>65</v>
      </c>
      <c r="L51" s="10" t="s">
        <v>4</v>
      </c>
      <c r="M51" s="11">
        <v>56.11</v>
      </c>
      <c r="N51" s="11" t="str">
        <f t="shared" si="0"/>
        <v>Pass</v>
      </c>
      <c r="O51" s="13" t="s">
        <v>12</v>
      </c>
      <c r="P51" s="13" t="str">
        <f>IF(AND(Placement_Data_Full_Class!$J51="Yes",Placement_Data_Full_Class!$H51&gt;70%),"High Priority", "Standard")</f>
        <v>Standard</v>
      </c>
      <c r="Q51" s="12">
        <v>0</v>
      </c>
      <c r="R51" s="10">
        <f>IF(Placement_Data_Full_Class!$K51&gt;90,Placement_Data_Full_Class!$Q51+(Placement_Data_Full_Class!$Q51*5%),Placement_Data_Full_Class!$Q51)</f>
        <v>0</v>
      </c>
    </row>
    <row r="52" spans="1:18" x14ac:dyDescent="0.3">
      <c r="A52" s="10">
        <v>51</v>
      </c>
      <c r="B52" s="10" t="s">
        <v>30</v>
      </c>
      <c r="C52" s="11">
        <v>75.2</v>
      </c>
      <c r="D52" s="10" t="s">
        <v>6</v>
      </c>
      <c r="E52" s="2">
        <v>73.2</v>
      </c>
      <c r="F52" s="10" t="s">
        <v>6</v>
      </c>
      <c r="G52" s="10" t="s">
        <v>7</v>
      </c>
      <c r="H52" s="11">
        <v>68.400000000000006</v>
      </c>
      <c r="I52" s="10" t="s">
        <v>11</v>
      </c>
      <c r="J52" s="10" t="s">
        <v>3</v>
      </c>
      <c r="K52" s="11">
        <v>65</v>
      </c>
      <c r="L52" s="10" t="s">
        <v>4</v>
      </c>
      <c r="M52" s="11">
        <v>62.98</v>
      </c>
      <c r="N52" s="11" t="str">
        <f t="shared" si="0"/>
        <v>First Class</v>
      </c>
      <c r="O52" s="10" t="s">
        <v>5</v>
      </c>
      <c r="P52" s="10" t="str">
        <f>IF(AND(Placement_Data_Full_Class!$J52="Yes",Placement_Data_Full_Class!$H52&gt;70%),"High Priority", "Standard")</f>
        <v>Standard</v>
      </c>
      <c r="Q52" s="12">
        <v>200000</v>
      </c>
      <c r="R52" s="10">
        <f>IF(Placement_Data_Full_Class!$K52&gt;90,Placement_Data_Full_Class!$Q52+(Placement_Data_Full_Class!$Q52*5%),Placement_Data_Full_Class!$Q52)</f>
        <v>200000</v>
      </c>
    </row>
    <row r="53" spans="1:18" x14ac:dyDescent="0.3">
      <c r="A53" s="10">
        <v>52</v>
      </c>
      <c r="B53" s="10" t="s">
        <v>29</v>
      </c>
      <c r="C53" s="11">
        <v>54.4</v>
      </c>
      <c r="D53" s="10" t="s">
        <v>6</v>
      </c>
      <c r="E53" s="2">
        <v>61.12</v>
      </c>
      <c r="F53" s="10" t="s">
        <v>6</v>
      </c>
      <c r="G53" s="10" t="s">
        <v>1</v>
      </c>
      <c r="H53" s="11">
        <v>56.2</v>
      </c>
      <c r="I53" s="10" t="s">
        <v>11</v>
      </c>
      <c r="J53" s="10" t="s">
        <v>3</v>
      </c>
      <c r="K53" s="11">
        <v>67</v>
      </c>
      <c r="L53" s="10" t="s">
        <v>4</v>
      </c>
      <c r="M53" s="11">
        <v>62.65</v>
      </c>
      <c r="N53" s="11" t="str">
        <f t="shared" si="0"/>
        <v>First Class</v>
      </c>
      <c r="O53" s="13" t="s">
        <v>12</v>
      </c>
      <c r="P53" s="13" t="str">
        <f>IF(AND(Placement_Data_Full_Class!$J53="Yes",Placement_Data_Full_Class!$H53&gt;70%),"High Priority", "Standard")</f>
        <v>Standard</v>
      </c>
      <c r="Q53" s="12">
        <v>0</v>
      </c>
      <c r="R53" s="10">
        <f>IF(Placement_Data_Full_Class!$K53&gt;90,Placement_Data_Full_Class!$Q53+(Placement_Data_Full_Class!$Q53*5%),Placement_Data_Full_Class!$Q53)</f>
        <v>0</v>
      </c>
    </row>
    <row r="54" spans="1:18" x14ac:dyDescent="0.3">
      <c r="A54" s="10">
        <v>53</v>
      </c>
      <c r="B54" s="10" t="s">
        <v>30</v>
      </c>
      <c r="C54" s="11">
        <v>40.89</v>
      </c>
      <c r="D54" s="10" t="s">
        <v>0</v>
      </c>
      <c r="E54" s="2">
        <v>45.83</v>
      </c>
      <c r="F54" s="10" t="s">
        <v>0</v>
      </c>
      <c r="G54" s="10" t="s">
        <v>1</v>
      </c>
      <c r="H54" s="11">
        <v>53</v>
      </c>
      <c r="I54" s="10" t="s">
        <v>11</v>
      </c>
      <c r="J54" s="10" t="s">
        <v>3</v>
      </c>
      <c r="K54" s="11">
        <v>71.2</v>
      </c>
      <c r="L54" s="10" t="s">
        <v>4</v>
      </c>
      <c r="M54" s="11">
        <v>65.489999999999995</v>
      </c>
      <c r="N54" s="11" t="str">
        <f t="shared" si="0"/>
        <v>First Class</v>
      </c>
      <c r="O54" s="10" t="s">
        <v>12</v>
      </c>
      <c r="P54" s="10" t="str">
        <f>IF(AND(Placement_Data_Full_Class!$J54="Yes",Placement_Data_Full_Class!$H54&gt;70%),"High Priority", "Standard")</f>
        <v>Standard</v>
      </c>
      <c r="Q54" s="12">
        <v>0</v>
      </c>
      <c r="R54" s="10">
        <f>IF(Placement_Data_Full_Class!$K54&gt;90,Placement_Data_Full_Class!$Q54+(Placement_Data_Full_Class!$Q54*5%),Placement_Data_Full_Class!$Q54)</f>
        <v>0</v>
      </c>
    </row>
    <row r="55" spans="1:18" x14ac:dyDescent="0.3">
      <c r="A55" s="10">
        <v>54</v>
      </c>
      <c r="B55" s="10" t="s">
        <v>29</v>
      </c>
      <c r="C55" s="11">
        <v>80</v>
      </c>
      <c r="D55" s="10" t="s">
        <v>0</v>
      </c>
      <c r="E55" s="2">
        <v>70</v>
      </c>
      <c r="F55" s="10" t="s">
        <v>0</v>
      </c>
      <c r="G55" s="10" t="s">
        <v>7</v>
      </c>
      <c r="H55" s="11">
        <v>72</v>
      </c>
      <c r="I55" s="10" t="s">
        <v>2</v>
      </c>
      <c r="J55" s="10" t="s">
        <v>3</v>
      </c>
      <c r="K55" s="11">
        <v>87</v>
      </c>
      <c r="L55" s="10" t="s">
        <v>4</v>
      </c>
      <c r="M55" s="11">
        <v>71.040000000000006</v>
      </c>
      <c r="N55" s="11" t="str">
        <f t="shared" si="0"/>
        <v>First Class</v>
      </c>
      <c r="O55" s="13" t="s">
        <v>5</v>
      </c>
      <c r="P55" s="13" t="str">
        <f>IF(AND(Placement_Data_Full_Class!$J55="Yes",Placement_Data_Full_Class!$H55&gt;70%),"High Priority", "Standard")</f>
        <v>Standard</v>
      </c>
      <c r="Q55" s="12">
        <v>450000</v>
      </c>
      <c r="R55" s="10">
        <f>IF(Placement_Data_Full_Class!$K55&gt;90,Placement_Data_Full_Class!$Q55+(Placement_Data_Full_Class!$Q55*5%),Placement_Data_Full_Class!$Q55)</f>
        <v>450000</v>
      </c>
    </row>
    <row r="56" spans="1:18" x14ac:dyDescent="0.3">
      <c r="A56" s="10">
        <v>55</v>
      </c>
      <c r="B56" s="10" t="s">
        <v>30</v>
      </c>
      <c r="C56" s="11">
        <v>74</v>
      </c>
      <c r="D56" s="10" t="s">
        <v>6</v>
      </c>
      <c r="E56" s="2">
        <v>60</v>
      </c>
      <c r="F56" s="10" t="s">
        <v>0</v>
      </c>
      <c r="G56" s="10" t="s">
        <v>7</v>
      </c>
      <c r="H56" s="11">
        <v>69</v>
      </c>
      <c r="I56" s="10" t="s">
        <v>11</v>
      </c>
      <c r="J56" s="10" t="s">
        <v>3</v>
      </c>
      <c r="K56" s="11">
        <v>78</v>
      </c>
      <c r="L56" s="10" t="s">
        <v>4</v>
      </c>
      <c r="M56" s="11">
        <v>65.56</v>
      </c>
      <c r="N56" s="11" t="str">
        <f t="shared" si="0"/>
        <v>First Class</v>
      </c>
      <c r="O56" s="10" t="s">
        <v>5</v>
      </c>
      <c r="P56" s="10" t="str">
        <f>IF(AND(Placement_Data_Full_Class!$J56="Yes",Placement_Data_Full_Class!$H56&gt;70%),"High Priority", "Standard")</f>
        <v>Standard</v>
      </c>
      <c r="Q56" s="12">
        <v>216000</v>
      </c>
      <c r="R56" s="10">
        <f>IF(Placement_Data_Full_Class!$K56&gt;90,Placement_Data_Full_Class!$Q56+(Placement_Data_Full_Class!$Q56*5%),Placement_Data_Full_Class!$Q56)</f>
        <v>216000</v>
      </c>
    </row>
    <row r="57" spans="1:18" x14ac:dyDescent="0.3">
      <c r="A57" s="13">
        <v>56</v>
      </c>
      <c r="B57" s="13" t="s">
        <v>29</v>
      </c>
      <c r="C57" s="14">
        <v>60.4</v>
      </c>
      <c r="D57" s="13" t="s">
        <v>6</v>
      </c>
      <c r="E57" s="3">
        <v>66.599999999999994</v>
      </c>
      <c r="F57" s="13" t="s">
        <v>0</v>
      </c>
      <c r="G57" s="13" t="s">
        <v>7</v>
      </c>
      <c r="H57" s="14">
        <v>65</v>
      </c>
      <c r="I57" s="13" t="s">
        <v>11</v>
      </c>
      <c r="J57" s="13" t="s">
        <v>3</v>
      </c>
      <c r="K57" s="14">
        <v>71</v>
      </c>
      <c r="L57" s="13" t="s">
        <v>4</v>
      </c>
      <c r="M57" s="14">
        <v>52.71</v>
      </c>
      <c r="N57" s="14" t="str">
        <f t="shared" si="0"/>
        <v>Pass</v>
      </c>
      <c r="O57" s="13" t="s">
        <v>5</v>
      </c>
      <c r="P57" s="13" t="str">
        <f>IF(AND(Placement_Data_Full_Class!$J57="Yes",Placement_Data_Full_Class!$H57&gt;70%),"High Priority", "Standard")</f>
        <v>Standard</v>
      </c>
      <c r="Q57" s="15">
        <v>220000</v>
      </c>
      <c r="R57" s="10">
        <f>IF(Placement_Data_Full_Class!$K57&gt;90,Placement_Data_Full_Class!$Q57+(Placement_Data_Full_Class!$Q57*5%),Placement_Data_Full_Class!$Q57)</f>
        <v>220000</v>
      </c>
    </row>
    <row r="58" spans="1:18" x14ac:dyDescent="0.3">
      <c r="A58" s="10">
        <v>57</v>
      </c>
      <c r="B58" s="10" t="s">
        <v>29</v>
      </c>
      <c r="C58" s="11">
        <v>63</v>
      </c>
      <c r="D58" s="10" t="s">
        <v>0</v>
      </c>
      <c r="E58" s="2">
        <v>71.400000000000006</v>
      </c>
      <c r="F58" s="10" t="s">
        <v>0</v>
      </c>
      <c r="G58" s="10" t="s">
        <v>1</v>
      </c>
      <c r="H58" s="11">
        <v>61.4</v>
      </c>
      <c r="I58" s="10" t="s">
        <v>11</v>
      </c>
      <c r="J58" s="10" t="s">
        <v>3</v>
      </c>
      <c r="K58" s="11">
        <v>68</v>
      </c>
      <c r="L58" s="10" t="s">
        <v>9</v>
      </c>
      <c r="M58" s="11">
        <v>66.88</v>
      </c>
      <c r="N58" s="11" t="str">
        <f t="shared" si="0"/>
        <v>First Class</v>
      </c>
      <c r="O58" s="10" t="s">
        <v>5</v>
      </c>
      <c r="P58" s="10" t="str">
        <f>IF(AND(Placement_Data_Full_Class!$J58="Yes",Placement_Data_Full_Class!$H58&gt;70%),"High Priority", "Standard")</f>
        <v>Standard</v>
      </c>
      <c r="Q58" s="12">
        <v>240000</v>
      </c>
      <c r="R58" s="10">
        <f>IF(Placement_Data_Full_Class!$K58&gt;90,Placement_Data_Full_Class!$Q58+(Placement_Data_Full_Class!$Q58*5%),Placement_Data_Full_Class!$Q58)</f>
        <v>240000</v>
      </c>
    </row>
    <row r="59" spans="1:18" x14ac:dyDescent="0.3">
      <c r="A59" s="10">
        <v>58</v>
      </c>
      <c r="B59" s="10" t="s">
        <v>29</v>
      </c>
      <c r="C59" s="11">
        <v>68</v>
      </c>
      <c r="D59" s="10" t="s">
        <v>6</v>
      </c>
      <c r="E59" s="2">
        <v>76</v>
      </c>
      <c r="F59" s="10" t="s">
        <v>6</v>
      </c>
      <c r="G59" s="10" t="s">
        <v>1</v>
      </c>
      <c r="H59" s="11">
        <v>74</v>
      </c>
      <c r="I59" s="10" t="s">
        <v>11</v>
      </c>
      <c r="J59" s="10" t="s">
        <v>3</v>
      </c>
      <c r="K59" s="11">
        <v>80</v>
      </c>
      <c r="L59" s="10" t="s">
        <v>9</v>
      </c>
      <c r="M59" s="11">
        <v>63.59</v>
      </c>
      <c r="N59" s="11" t="str">
        <f t="shared" si="0"/>
        <v>First Class</v>
      </c>
      <c r="O59" s="13" t="s">
        <v>5</v>
      </c>
      <c r="P59" s="13" t="str">
        <f>IF(AND(Placement_Data_Full_Class!$J59="Yes",Placement_Data_Full_Class!$H59&gt;70%),"High Priority", "Standard")</f>
        <v>Standard</v>
      </c>
      <c r="Q59" s="12">
        <v>360000</v>
      </c>
      <c r="R59" s="10">
        <f>IF(Placement_Data_Full_Class!$K59&gt;90,Placement_Data_Full_Class!$Q59+(Placement_Data_Full_Class!$Q59*5%),Placement_Data_Full_Class!$Q59)</f>
        <v>360000</v>
      </c>
    </row>
    <row r="60" spans="1:18" x14ac:dyDescent="0.3">
      <c r="A60" s="10">
        <v>59</v>
      </c>
      <c r="B60" s="10" t="s">
        <v>29</v>
      </c>
      <c r="C60" s="11">
        <v>74</v>
      </c>
      <c r="D60" s="10" t="s">
        <v>6</v>
      </c>
      <c r="E60" s="2">
        <v>62</v>
      </c>
      <c r="F60" s="10" t="s">
        <v>0</v>
      </c>
      <c r="G60" s="10" t="s">
        <v>7</v>
      </c>
      <c r="H60" s="11">
        <v>68</v>
      </c>
      <c r="I60" s="10" t="s">
        <v>11</v>
      </c>
      <c r="J60" s="10" t="s">
        <v>3</v>
      </c>
      <c r="K60" s="11">
        <v>74</v>
      </c>
      <c r="L60" s="10" t="s">
        <v>9</v>
      </c>
      <c r="M60" s="11">
        <v>57.99</v>
      </c>
      <c r="N60" s="11" t="str">
        <f t="shared" si="0"/>
        <v>Pass</v>
      </c>
      <c r="O60" s="10" t="s">
        <v>5</v>
      </c>
      <c r="P60" s="10" t="str">
        <f>IF(AND(Placement_Data_Full_Class!$J60="Yes",Placement_Data_Full_Class!$H60&gt;70%),"High Priority", "Standard")</f>
        <v>Standard</v>
      </c>
      <c r="Q60" s="12">
        <v>268000</v>
      </c>
      <c r="R60" s="10">
        <f>IF(Placement_Data_Full_Class!$K60&gt;90,Placement_Data_Full_Class!$Q60+(Placement_Data_Full_Class!$Q60*5%),Placement_Data_Full_Class!$Q60)</f>
        <v>268000</v>
      </c>
    </row>
    <row r="61" spans="1:18" x14ac:dyDescent="0.3">
      <c r="A61" s="10">
        <v>60</v>
      </c>
      <c r="B61" s="10" t="s">
        <v>29</v>
      </c>
      <c r="C61" s="11">
        <v>52.6</v>
      </c>
      <c r="D61" s="10" t="s">
        <v>6</v>
      </c>
      <c r="E61" s="2">
        <v>65.58</v>
      </c>
      <c r="F61" s="10" t="s">
        <v>0</v>
      </c>
      <c r="G61" s="10" t="s">
        <v>7</v>
      </c>
      <c r="H61" s="11">
        <v>72.11</v>
      </c>
      <c r="I61" s="10" t="s">
        <v>2</v>
      </c>
      <c r="J61" s="10" t="s">
        <v>3</v>
      </c>
      <c r="K61" s="11">
        <v>57.6</v>
      </c>
      <c r="L61" s="10" t="s">
        <v>9</v>
      </c>
      <c r="M61" s="11">
        <v>56.66</v>
      </c>
      <c r="N61" s="11" t="str">
        <f t="shared" si="0"/>
        <v>Pass</v>
      </c>
      <c r="O61" s="13" t="s">
        <v>5</v>
      </c>
      <c r="P61" s="13" t="str">
        <f>IF(AND(Placement_Data_Full_Class!$J61="Yes",Placement_Data_Full_Class!$H61&gt;70%),"High Priority", "Standard")</f>
        <v>Standard</v>
      </c>
      <c r="Q61" s="12">
        <v>265000</v>
      </c>
      <c r="R61" s="10">
        <f>IF(Placement_Data_Full_Class!$K61&gt;90,Placement_Data_Full_Class!$Q61+(Placement_Data_Full_Class!$Q61*5%),Placement_Data_Full_Class!$Q61)</f>
        <v>265000</v>
      </c>
    </row>
    <row r="62" spans="1:18" x14ac:dyDescent="0.3">
      <c r="A62" s="10">
        <v>61</v>
      </c>
      <c r="B62" s="10" t="s">
        <v>29</v>
      </c>
      <c r="C62" s="11">
        <v>74</v>
      </c>
      <c r="D62" s="10" t="s">
        <v>6</v>
      </c>
      <c r="E62" s="2">
        <v>70</v>
      </c>
      <c r="F62" s="10" t="s">
        <v>6</v>
      </c>
      <c r="G62" s="10" t="s">
        <v>7</v>
      </c>
      <c r="H62" s="11">
        <v>72</v>
      </c>
      <c r="I62" s="10" t="s">
        <v>11</v>
      </c>
      <c r="J62" s="10" t="s">
        <v>8</v>
      </c>
      <c r="K62" s="11">
        <v>60</v>
      </c>
      <c r="L62" s="10" t="s">
        <v>9</v>
      </c>
      <c r="M62" s="11">
        <v>57.24</v>
      </c>
      <c r="N62" s="11" t="str">
        <f t="shared" si="0"/>
        <v>Pass</v>
      </c>
      <c r="O62" s="10" t="s">
        <v>5</v>
      </c>
      <c r="P62" s="10" t="str">
        <f>IF(AND(Placement_Data_Full_Class!$J62="Yes",Placement_Data_Full_Class!$H62&gt;70%),"High Priority", "Standard")</f>
        <v>High Priority</v>
      </c>
      <c r="Q62" s="12">
        <v>260000</v>
      </c>
      <c r="R62" s="10">
        <f>IF(Placement_Data_Full_Class!$K62&gt;90,Placement_Data_Full_Class!$Q62+(Placement_Data_Full_Class!$Q62*5%),Placement_Data_Full_Class!$Q62)</f>
        <v>260000</v>
      </c>
    </row>
    <row r="63" spans="1:18" x14ac:dyDescent="0.3">
      <c r="A63" s="13">
        <v>62</v>
      </c>
      <c r="B63" s="13" t="s">
        <v>29</v>
      </c>
      <c r="C63" s="14">
        <v>84.2</v>
      </c>
      <c r="D63" s="13" t="s">
        <v>6</v>
      </c>
      <c r="E63" s="3">
        <v>73.400000000000006</v>
      </c>
      <c r="F63" s="13" t="s">
        <v>6</v>
      </c>
      <c r="G63" s="13" t="s">
        <v>1</v>
      </c>
      <c r="H63" s="14">
        <v>66.89</v>
      </c>
      <c r="I63" s="13" t="s">
        <v>11</v>
      </c>
      <c r="J63" s="13" t="s">
        <v>3</v>
      </c>
      <c r="K63" s="14">
        <v>61.6</v>
      </c>
      <c r="L63" s="13" t="s">
        <v>9</v>
      </c>
      <c r="M63" s="14">
        <v>62.48</v>
      </c>
      <c r="N63" s="14" t="str">
        <f t="shared" si="0"/>
        <v>First Class</v>
      </c>
      <c r="O63" s="13" t="s">
        <v>5</v>
      </c>
      <c r="P63" s="13" t="str">
        <f>IF(AND(Placement_Data_Full_Class!$J63="Yes",Placement_Data_Full_Class!$H63&gt;70%),"High Priority", "Standard")</f>
        <v>Standard</v>
      </c>
      <c r="Q63" s="15">
        <v>300000</v>
      </c>
      <c r="R63" s="10">
        <f>IF(Placement_Data_Full_Class!$K63&gt;90,Placement_Data_Full_Class!$Q63+(Placement_Data_Full_Class!$Q63*5%),Placement_Data_Full_Class!$Q63)</f>
        <v>300000</v>
      </c>
    </row>
    <row r="64" spans="1:18" x14ac:dyDescent="0.3">
      <c r="A64" s="10">
        <v>63</v>
      </c>
      <c r="B64" s="10" t="s">
        <v>30</v>
      </c>
      <c r="C64" s="11">
        <v>86.5</v>
      </c>
      <c r="D64" s="10" t="s">
        <v>0</v>
      </c>
      <c r="E64" s="2">
        <v>64.2</v>
      </c>
      <c r="F64" s="10" t="s">
        <v>0</v>
      </c>
      <c r="G64" s="10" t="s">
        <v>7</v>
      </c>
      <c r="H64" s="11">
        <v>67.400000000000006</v>
      </c>
      <c r="I64" s="10" t="s">
        <v>2</v>
      </c>
      <c r="J64" s="10" t="s">
        <v>3</v>
      </c>
      <c r="K64" s="11">
        <v>59</v>
      </c>
      <c r="L64" s="10" t="s">
        <v>9</v>
      </c>
      <c r="M64" s="11">
        <v>59.69</v>
      </c>
      <c r="N64" s="11" t="str">
        <f t="shared" si="0"/>
        <v>Pass</v>
      </c>
      <c r="O64" s="10" t="s">
        <v>5</v>
      </c>
      <c r="P64" s="10" t="str">
        <f>IF(AND(Placement_Data_Full_Class!$J64="Yes",Placement_Data_Full_Class!$H64&gt;70%),"High Priority", "Standard")</f>
        <v>Standard</v>
      </c>
      <c r="Q64" s="12">
        <v>240000</v>
      </c>
      <c r="R64" s="10">
        <f>IF(Placement_Data_Full_Class!$K64&gt;90,Placement_Data_Full_Class!$Q64+(Placement_Data_Full_Class!$Q64*5%),Placement_Data_Full_Class!$Q64)</f>
        <v>240000</v>
      </c>
    </row>
    <row r="65" spans="1:18" x14ac:dyDescent="0.3">
      <c r="A65" s="10">
        <v>64</v>
      </c>
      <c r="B65" s="10" t="s">
        <v>29</v>
      </c>
      <c r="C65" s="11">
        <v>61</v>
      </c>
      <c r="D65" s="10" t="s">
        <v>0</v>
      </c>
      <c r="E65" s="2">
        <v>70</v>
      </c>
      <c r="F65" s="10" t="s">
        <v>0</v>
      </c>
      <c r="G65" s="10" t="s">
        <v>1</v>
      </c>
      <c r="H65" s="11">
        <v>64</v>
      </c>
      <c r="I65" s="10" t="s">
        <v>11</v>
      </c>
      <c r="J65" s="10" t="s">
        <v>3</v>
      </c>
      <c r="K65" s="11">
        <v>68.5</v>
      </c>
      <c r="L65" s="10" t="s">
        <v>4</v>
      </c>
      <c r="M65" s="11">
        <v>59.5</v>
      </c>
      <c r="N65" s="11" t="str">
        <f t="shared" si="0"/>
        <v>Pass</v>
      </c>
      <c r="O65" s="13" t="s">
        <v>12</v>
      </c>
      <c r="P65" s="13" t="str">
        <f>IF(AND(Placement_Data_Full_Class!$J65="Yes",Placement_Data_Full_Class!$H65&gt;70%),"High Priority", "Standard")</f>
        <v>Standard</v>
      </c>
      <c r="Q65" s="12">
        <v>0</v>
      </c>
      <c r="R65" s="10">
        <f>IF(Placement_Data_Full_Class!$K65&gt;90,Placement_Data_Full_Class!$Q65+(Placement_Data_Full_Class!$Q65*5%),Placement_Data_Full_Class!$Q65)</f>
        <v>0</v>
      </c>
    </row>
    <row r="66" spans="1:18" x14ac:dyDescent="0.3">
      <c r="A66" s="10">
        <v>65</v>
      </c>
      <c r="B66" s="10" t="s">
        <v>29</v>
      </c>
      <c r="C66" s="11">
        <v>80</v>
      </c>
      <c r="D66" s="10" t="s">
        <v>0</v>
      </c>
      <c r="E66" s="2">
        <v>73</v>
      </c>
      <c r="F66" s="10" t="s">
        <v>0</v>
      </c>
      <c r="G66" s="10" t="s">
        <v>1</v>
      </c>
      <c r="H66" s="11">
        <v>75</v>
      </c>
      <c r="I66" s="10" t="s">
        <v>11</v>
      </c>
      <c r="J66" s="10" t="s">
        <v>3</v>
      </c>
      <c r="K66" s="11">
        <v>61</v>
      </c>
      <c r="L66" s="10" t="s">
        <v>9</v>
      </c>
      <c r="M66" s="11">
        <v>58.78</v>
      </c>
      <c r="N66" s="11" t="str">
        <f t="shared" ref="N66:N129" si="1">IF(M66&gt;75,"Distinction",IF(M66&gt;60,"First Class","Pass"))</f>
        <v>Pass</v>
      </c>
      <c r="O66" s="10" t="s">
        <v>5</v>
      </c>
      <c r="P66" s="10" t="str">
        <f>IF(AND(Placement_Data_Full_Class!$J66="Yes",Placement_Data_Full_Class!$H66&gt;70%),"High Priority", "Standard")</f>
        <v>Standard</v>
      </c>
      <c r="Q66" s="12">
        <v>240000</v>
      </c>
      <c r="R66" s="10">
        <f>IF(Placement_Data_Full_Class!$K66&gt;90,Placement_Data_Full_Class!$Q66+(Placement_Data_Full_Class!$Q66*5%),Placement_Data_Full_Class!$Q66)</f>
        <v>240000</v>
      </c>
    </row>
    <row r="67" spans="1:18" x14ac:dyDescent="0.3">
      <c r="A67" s="13">
        <v>66</v>
      </c>
      <c r="B67" s="13" t="s">
        <v>29</v>
      </c>
      <c r="C67" s="14">
        <v>54</v>
      </c>
      <c r="D67" s="13" t="s">
        <v>0</v>
      </c>
      <c r="E67" s="3">
        <v>47</v>
      </c>
      <c r="F67" s="13" t="s">
        <v>0</v>
      </c>
      <c r="G67" s="13" t="s">
        <v>7</v>
      </c>
      <c r="H67" s="14">
        <v>57</v>
      </c>
      <c r="I67" s="13" t="s">
        <v>11</v>
      </c>
      <c r="J67" s="13" t="s">
        <v>3</v>
      </c>
      <c r="K67" s="14">
        <v>89.69</v>
      </c>
      <c r="L67" s="13" t="s">
        <v>4</v>
      </c>
      <c r="M67" s="14">
        <v>57.1</v>
      </c>
      <c r="N67" s="14" t="str">
        <f t="shared" si="1"/>
        <v>Pass</v>
      </c>
      <c r="O67" s="13" t="s">
        <v>12</v>
      </c>
      <c r="P67" s="13" t="str">
        <f>IF(AND(Placement_Data_Full_Class!$J67="Yes",Placement_Data_Full_Class!$H67&gt;70%),"High Priority", "Standard")</f>
        <v>Standard</v>
      </c>
      <c r="Q67" s="15">
        <v>0</v>
      </c>
      <c r="R67" s="10">
        <f>IF(Placement_Data_Full_Class!$K67&gt;90,Placement_Data_Full_Class!$Q67+(Placement_Data_Full_Class!$Q67*5%),Placement_Data_Full_Class!$Q67)</f>
        <v>0</v>
      </c>
    </row>
    <row r="68" spans="1:18" x14ac:dyDescent="0.3">
      <c r="A68" s="10">
        <v>67</v>
      </c>
      <c r="B68" s="10" t="s">
        <v>29</v>
      </c>
      <c r="C68" s="11">
        <v>83</v>
      </c>
      <c r="D68" s="10" t="s">
        <v>0</v>
      </c>
      <c r="E68" s="2">
        <v>74</v>
      </c>
      <c r="F68" s="10" t="s">
        <v>0</v>
      </c>
      <c r="G68" s="10" t="s">
        <v>7</v>
      </c>
      <c r="H68" s="11">
        <v>66</v>
      </c>
      <c r="I68" s="10" t="s">
        <v>11</v>
      </c>
      <c r="J68" s="10" t="s">
        <v>3</v>
      </c>
      <c r="K68" s="11">
        <v>68.92</v>
      </c>
      <c r="L68" s="10" t="s">
        <v>4</v>
      </c>
      <c r="M68" s="11">
        <v>58.46</v>
      </c>
      <c r="N68" s="11" t="str">
        <f t="shared" si="1"/>
        <v>Pass</v>
      </c>
      <c r="O68" s="10" t="s">
        <v>5</v>
      </c>
      <c r="P68" s="10" t="str">
        <f>IF(AND(Placement_Data_Full_Class!$J68="Yes",Placement_Data_Full_Class!$H68&gt;70%),"High Priority", "Standard")</f>
        <v>Standard</v>
      </c>
      <c r="Q68" s="12">
        <v>275000</v>
      </c>
      <c r="R68" s="10">
        <f>IF(Placement_Data_Full_Class!$K68&gt;90,Placement_Data_Full_Class!$Q68+(Placement_Data_Full_Class!$Q68*5%),Placement_Data_Full_Class!$Q68)</f>
        <v>275000</v>
      </c>
    </row>
    <row r="69" spans="1:18" x14ac:dyDescent="0.3">
      <c r="A69" s="13">
        <v>68</v>
      </c>
      <c r="B69" s="13" t="s">
        <v>29</v>
      </c>
      <c r="C69" s="14">
        <v>80.92</v>
      </c>
      <c r="D69" s="13" t="s">
        <v>0</v>
      </c>
      <c r="E69" s="3">
        <v>78.5</v>
      </c>
      <c r="F69" s="13" t="s">
        <v>0</v>
      </c>
      <c r="G69" s="13" t="s">
        <v>1</v>
      </c>
      <c r="H69" s="14">
        <v>67</v>
      </c>
      <c r="I69" s="13" t="s">
        <v>11</v>
      </c>
      <c r="J69" s="13" t="s">
        <v>3</v>
      </c>
      <c r="K69" s="14">
        <v>68.709999999999994</v>
      </c>
      <c r="L69" s="13" t="s">
        <v>9</v>
      </c>
      <c r="M69" s="14">
        <v>60.99</v>
      </c>
      <c r="N69" s="14" t="str">
        <f t="shared" si="1"/>
        <v>First Class</v>
      </c>
      <c r="O69" s="13" t="s">
        <v>5</v>
      </c>
      <c r="P69" s="13" t="str">
        <f>IF(AND(Placement_Data_Full_Class!$J69="Yes",Placement_Data_Full_Class!$H69&gt;70%),"High Priority", "Standard")</f>
        <v>Standard</v>
      </c>
      <c r="Q69" s="15">
        <v>275000</v>
      </c>
      <c r="R69" s="10">
        <f>IF(Placement_Data_Full_Class!$K69&gt;90,Placement_Data_Full_Class!$Q69+(Placement_Data_Full_Class!$Q69*5%),Placement_Data_Full_Class!$Q69)</f>
        <v>275000</v>
      </c>
    </row>
    <row r="70" spans="1:18" x14ac:dyDescent="0.3">
      <c r="A70" s="10">
        <v>69</v>
      </c>
      <c r="B70" s="10" t="s">
        <v>30</v>
      </c>
      <c r="C70" s="11">
        <v>69.7</v>
      </c>
      <c r="D70" s="10" t="s">
        <v>6</v>
      </c>
      <c r="E70" s="2">
        <v>47</v>
      </c>
      <c r="F70" s="10" t="s">
        <v>6</v>
      </c>
      <c r="G70" s="10" t="s">
        <v>1</v>
      </c>
      <c r="H70" s="11">
        <v>72.7</v>
      </c>
      <c r="I70" s="10" t="s">
        <v>2</v>
      </c>
      <c r="J70" s="10" t="s">
        <v>3</v>
      </c>
      <c r="K70" s="11">
        <v>79</v>
      </c>
      <c r="L70" s="10" t="s">
        <v>4</v>
      </c>
      <c r="M70" s="11">
        <v>59.24</v>
      </c>
      <c r="N70" s="11" t="str">
        <f t="shared" si="1"/>
        <v>Pass</v>
      </c>
      <c r="O70" s="10" t="s">
        <v>12</v>
      </c>
      <c r="P70" s="10" t="str">
        <f>IF(AND(Placement_Data_Full_Class!$J70="Yes",Placement_Data_Full_Class!$H70&gt;70%),"High Priority", "Standard")</f>
        <v>Standard</v>
      </c>
      <c r="Q70" s="12">
        <v>0</v>
      </c>
      <c r="R70" s="10">
        <f>IF(Placement_Data_Full_Class!$K70&gt;90,Placement_Data_Full_Class!$Q70+(Placement_Data_Full_Class!$Q70*5%),Placement_Data_Full_Class!$Q70)</f>
        <v>0</v>
      </c>
    </row>
    <row r="71" spans="1:18" x14ac:dyDescent="0.3">
      <c r="A71" s="10">
        <v>70</v>
      </c>
      <c r="B71" s="10" t="s">
        <v>29</v>
      </c>
      <c r="C71" s="11">
        <v>73</v>
      </c>
      <c r="D71" s="10" t="s">
        <v>6</v>
      </c>
      <c r="E71" s="2">
        <v>73</v>
      </c>
      <c r="F71" s="10" t="s">
        <v>6</v>
      </c>
      <c r="G71" s="10" t="s">
        <v>7</v>
      </c>
      <c r="H71" s="11">
        <v>66</v>
      </c>
      <c r="I71" s="10" t="s">
        <v>2</v>
      </c>
      <c r="J71" s="10" t="s">
        <v>8</v>
      </c>
      <c r="K71" s="11">
        <v>70</v>
      </c>
      <c r="L71" s="10" t="s">
        <v>9</v>
      </c>
      <c r="M71" s="11">
        <v>68.069999999999993</v>
      </c>
      <c r="N71" s="11" t="str">
        <f t="shared" si="1"/>
        <v>First Class</v>
      </c>
      <c r="O71" s="13" t="s">
        <v>5</v>
      </c>
      <c r="P71" s="13" t="str">
        <f>IF(AND(Placement_Data_Full_Class!$J71="Yes",Placement_Data_Full_Class!$H71&gt;70%),"High Priority", "Standard")</f>
        <v>High Priority</v>
      </c>
      <c r="Q71" s="12">
        <v>275000</v>
      </c>
      <c r="R71" s="10">
        <f>IF(Placement_Data_Full_Class!$K71&gt;90,Placement_Data_Full_Class!$Q71+(Placement_Data_Full_Class!$Q71*5%),Placement_Data_Full_Class!$Q71)</f>
        <v>275000</v>
      </c>
    </row>
    <row r="72" spans="1:18" x14ac:dyDescent="0.3">
      <c r="A72" s="10">
        <v>71</v>
      </c>
      <c r="B72" s="10" t="s">
        <v>29</v>
      </c>
      <c r="C72" s="11">
        <v>82</v>
      </c>
      <c r="D72" s="10" t="s">
        <v>0</v>
      </c>
      <c r="E72" s="2">
        <v>61</v>
      </c>
      <c r="F72" s="10" t="s">
        <v>0</v>
      </c>
      <c r="G72" s="10" t="s">
        <v>7</v>
      </c>
      <c r="H72" s="11">
        <v>62</v>
      </c>
      <c r="I72" s="10" t="s">
        <v>2</v>
      </c>
      <c r="J72" s="10" t="s">
        <v>3</v>
      </c>
      <c r="K72" s="11">
        <v>89</v>
      </c>
      <c r="L72" s="10" t="s">
        <v>9</v>
      </c>
      <c r="M72" s="11">
        <v>65.45</v>
      </c>
      <c r="N72" s="11" t="str">
        <f t="shared" si="1"/>
        <v>First Class</v>
      </c>
      <c r="O72" s="10" t="s">
        <v>5</v>
      </c>
      <c r="P72" s="10" t="str">
        <f>IF(AND(Placement_Data_Full_Class!$J72="Yes",Placement_Data_Full_Class!$H72&gt;70%),"High Priority", "Standard")</f>
        <v>Standard</v>
      </c>
      <c r="Q72" s="12">
        <v>360000</v>
      </c>
      <c r="R72" s="10">
        <f>IF(Placement_Data_Full_Class!$K72&gt;90,Placement_Data_Full_Class!$Q72+(Placement_Data_Full_Class!$Q72*5%),Placement_Data_Full_Class!$Q72)</f>
        <v>360000</v>
      </c>
    </row>
    <row r="73" spans="1:18" x14ac:dyDescent="0.3">
      <c r="A73" s="10">
        <v>72</v>
      </c>
      <c r="B73" s="10" t="s">
        <v>29</v>
      </c>
      <c r="C73" s="11">
        <v>75</v>
      </c>
      <c r="D73" s="10" t="s">
        <v>0</v>
      </c>
      <c r="E73" s="2">
        <v>70.290000000000006</v>
      </c>
      <c r="F73" s="10" t="s">
        <v>0</v>
      </c>
      <c r="G73" s="10" t="s">
        <v>1</v>
      </c>
      <c r="H73" s="11">
        <v>71</v>
      </c>
      <c r="I73" s="10" t="s">
        <v>11</v>
      </c>
      <c r="J73" s="10" t="s">
        <v>3</v>
      </c>
      <c r="K73" s="11">
        <v>95</v>
      </c>
      <c r="L73" s="10" t="s">
        <v>9</v>
      </c>
      <c r="M73" s="11">
        <v>66.94</v>
      </c>
      <c r="N73" s="11" t="str">
        <f t="shared" si="1"/>
        <v>First Class</v>
      </c>
      <c r="O73" s="13" t="s">
        <v>5</v>
      </c>
      <c r="P73" s="13" t="str">
        <f>IF(AND(Placement_Data_Full_Class!$J73="Yes",Placement_Data_Full_Class!$H73&gt;70%),"High Priority", "Standard")</f>
        <v>Standard</v>
      </c>
      <c r="Q73" s="12">
        <v>240000</v>
      </c>
      <c r="R73" s="10">
        <f>IF(Placement_Data_Full_Class!$K73&gt;90,Placement_Data_Full_Class!$Q73+(Placement_Data_Full_Class!$Q73*5%),Placement_Data_Full_Class!$Q73)</f>
        <v>252000</v>
      </c>
    </row>
    <row r="74" spans="1:18" x14ac:dyDescent="0.3">
      <c r="A74" s="10">
        <v>73</v>
      </c>
      <c r="B74" s="10" t="s">
        <v>29</v>
      </c>
      <c r="C74" s="11">
        <v>84.86</v>
      </c>
      <c r="D74" s="10" t="s">
        <v>0</v>
      </c>
      <c r="E74" s="2">
        <v>67</v>
      </c>
      <c r="F74" s="10" t="s">
        <v>0</v>
      </c>
      <c r="G74" s="10" t="s">
        <v>7</v>
      </c>
      <c r="H74" s="11">
        <v>78</v>
      </c>
      <c r="I74" s="10" t="s">
        <v>11</v>
      </c>
      <c r="J74" s="10" t="s">
        <v>3</v>
      </c>
      <c r="K74" s="11">
        <v>95.5</v>
      </c>
      <c r="L74" s="10" t="s">
        <v>9</v>
      </c>
      <c r="M74" s="11">
        <v>68.53</v>
      </c>
      <c r="N74" s="11" t="str">
        <f t="shared" si="1"/>
        <v>First Class</v>
      </c>
      <c r="O74" s="10" t="s">
        <v>5</v>
      </c>
      <c r="P74" s="10" t="str">
        <f>IF(AND(Placement_Data_Full_Class!$J74="Yes",Placement_Data_Full_Class!$H74&gt;70%),"High Priority", "Standard")</f>
        <v>Standard</v>
      </c>
      <c r="Q74" s="12">
        <v>240000</v>
      </c>
      <c r="R74" s="10">
        <f>IF(Placement_Data_Full_Class!$K74&gt;90,Placement_Data_Full_Class!$Q74+(Placement_Data_Full_Class!$Q74*5%),Placement_Data_Full_Class!$Q74)</f>
        <v>252000</v>
      </c>
    </row>
    <row r="75" spans="1:18" x14ac:dyDescent="0.3">
      <c r="A75" s="13">
        <v>74</v>
      </c>
      <c r="B75" s="13" t="s">
        <v>29</v>
      </c>
      <c r="C75" s="14">
        <v>64.599999999999994</v>
      </c>
      <c r="D75" s="13" t="s">
        <v>6</v>
      </c>
      <c r="E75" s="3">
        <v>83.83</v>
      </c>
      <c r="F75" s="13" t="s">
        <v>0</v>
      </c>
      <c r="G75" s="13" t="s">
        <v>1</v>
      </c>
      <c r="H75" s="14">
        <v>71.72</v>
      </c>
      <c r="I75" s="13" t="s">
        <v>11</v>
      </c>
      <c r="J75" s="13" t="s">
        <v>3</v>
      </c>
      <c r="K75" s="14">
        <v>86</v>
      </c>
      <c r="L75" s="13" t="s">
        <v>9</v>
      </c>
      <c r="M75" s="14">
        <v>59.75</v>
      </c>
      <c r="N75" s="14" t="str">
        <f t="shared" si="1"/>
        <v>Pass</v>
      </c>
      <c r="O75" s="13" t="s">
        <v>5</v>
      </c>
      <c r="P75" s="13" t="str">
        <f>IF(AND(Placement_Data_Full_Class!$J75="Yes",Placement_Data_Full_Class!$H75&gt;70%),"High Priority", "Standard")</f>
        <v>Standard</v>
      </c>
      <c r="Q75" s="15">
        <v>218000</v>
      </c>
      <c r="R75" s="10">
        <f>IF(Placement_Data_Full_Class!$K75&gt;90,Placement_Data_Full_Class!$Q75+(Placement_Data_Full_Class!$Q75*5%),Placement_Data_Full_Class!$Q75)</f>
        <v>218000</v>
      </c>
    </row>
    <row r="76" spans="1:18" x14ac:dyDescent="0.3">
      <c r="A76" s="10">
        <v>75</v>
      </c>
      <c r="B76" s="10" t="s">
        <v>29</v>
      </c>
      <c r="C76" s="11">
        <v>56.6</v>
      </c>
      <c r="D76" s="10" t="s">
        <v>6</v>
      </c>
      <c r="E76" s="2">
        <v>64.8</v>
      </c>
      <c r="F76" s="10" t="s">
        <v>6</v>
      </c>
      <c r="G76" s="10" t="s">
        <v>1</v>
      </c>
      <c r="H76" s="11">
        <v>70.2</v>
      </c>
      <c r="I76" s="10" t="s">
        <v>11</v>
      </c>
      <c r="J76" s="10" t="s">
        <v>3</v>
      </c>
      <c r="K76" s="11">
        <v>84.27</v>
      </c>
      <c r="L76" s="10" t="s">
        <v>9</v>
      </c>
      <c r="M76" s="11">
        <v>67.2</v>
      </c>
      <c r="N76" s="11" t="str">
        <f t="shared" si="1"/>
        <v>First Class</v>
      </c>
      <c r="O76" s="10" t="s">
        <v>5</v>
      </c>
      <c r="P76" s="10" t="str">
        <f>IF(AND(Placement_Data_Full_Class!$J76="Yes",Placement_Data_Full_Class!$H76&gt;70%),"High Priority", "Standard")</f>
        <v>Standard</v>
      </c>
      <c r="Q76" s="12">
        <v>336000</v>
      </c>
      <c r="R76" s="10">
        <f>IF(Placement_Data_Full_Class!$K76&gt;90,Placement_Data_Full_Class!$Q76+(Placement_Data_Full_Class!$Q76*5%),Placement_Data_Full_Class!$Q76)</f>
        <v>336000</v>
      </c>
    </row>
    <row r="77" spans="1:18" x14ac:dyDescent="0.3">
      <c r="A77" s="13">
        <v>76</v>
      </c>
      <c r="B77" s="13" t="s">
        <v>30</v>
      </c>
      <c r="C77" s="14">
        <v>59</v>
      </c>
      <c r="D77" s="13" t="s">
        <v>6</v>
      </c>
      <c r="E77" s="3">
        <v>62</v>
      </c>
      <c r="F77" s="13" t="s">
        <v>0</v>
      </c>
      <c r="G77" s="13" t="s">
        <v>1</v>
      </c>
      <c r="H77" s="14">
        <v>77.5</v>
      </c>
      <c r="I77" s="13" t="s">
        <v>11</v>
      </c>
      <c r="J77" s="13" t="s">
        <v>3</v>
      </c>
      <c r="K77" s="14">
        <v>74</v>
      </c>
      <c r="L77" s="13" t="s">
        <v>4</v>
      </c>
      <c r="M77" s="14">
        <v>67</v>
      </c>
      <c r="N77" s="14" t="str">
        <f t="shared" si="1"/>
        <v>First Class</v>
      </c>
      <c r="O77" s="13" t="s">
        <v>12</v>
      </c>
      <c r="P77" s="13" t="str">
        <f>IF(AND(Placement_Data_Full_Class!$J77="Yes",Placement_Data_Full_Class!$H77&gt;70%),"High Priority", "Standard")</f>
        <v>Standard</v>
      </c>
      <c r="Q77" s="15">
        <v>0</v>
      </c>
      <c r="R77" s="10">
        <f>IF(Placement_Data_Full_Class!$K77&gt;90,Placement_Data_Full_Class!$Q77+(Placement_Data_Full_Class!$Q77*5%),Placement_Data_Full_Class!$Q77)</f>
        <v>0</v>
      </c>
    </row>
    <row r="78" spans="1:18" x14ac:dyDescent="0.3">
      <c r="A78" s="10">
        <v>77</v>
      </c>
      <c r="B78" s="10" t="s">
        <v>30</v>
      </c>
      <c r="C78" s="11">
        <v>66.5</v>
      </c>
      <c r="D78" s="10" t="s">
        <v>0</v>
      </c>
      <c r="E78" s="2">
        <v>70.400000000000006</v>
      </c>
      <c r="F78" s="10" t="s">
        <v>6</v>
      </c>
      <c r="G78" s="10" t="s">
        <v>10</v>
      </c>
      <c r="H78" s="11">
        <v>71.930000000000007</v>
      </c>
      <c r="I78" s="10" t="s">
        <v>11</v>
      </c>
      <c r="J78" s="10" t="s">
        <v>3</v>
      </c>
      <c r="K78" s="11">
        <v>61</v>
      </c>
      <c r="L78" s="10" t="s">
        <v>9</v>
      </c>
      <c r="M78" s="11">
        <v>64.27</v>
      </c>
      <c r="N78" s="11" t="str">
        <f t="shared" si="1"/>
        <v>First Class</v>
      </c>
      <c r="O78" s="10" t="s">
        <v>5</v>
      </c>
      <c r="P78" s="10" t="str">
        <f>IF(AND(Placement_Data_Full_Class!$J78="Yes",Placement_Data_Full_Class!$H78&gt;70%),"High Priority", "Standard")</f>
        <v>Standard</v>
      </c>
      <c r="Q78" s="12">
        <v>230000</v>
      </c>
      <c r="R78" s="10">
        <f>IF(Placement_Data_Full_Class!$K78&gt;90,Placement_Data_Full_Class!$Q78+(Placement_Data_Full_Class!$Q78*5%),Placement_Data_Full_Class!$Q78)</f>
        <v>230000</v>
      </c>
    </row>
    <row r="79" spans="1:18" x14ac:dyDescent="0.3">
      <c r="A79" s="10">
        <v>78</v>
      </c>
      <c r="B79" s="10" t="s">
        <v>29</v>
      </c>
      <c r="C79" s="11">
        <v>64</v>
      </c>
      <c r="D79" s="10" t="s">
        <v>0</v>
      </c>
      <c r="E79" s="2">
        <v>80</v>
      </c>
      <c r="F79" s="10" t="s">
        <v>0</v>
      </c>
      <c r="G79" s="10" t="s">
        <v>7</v>
      </c>
      <c r="H79" s="11">
        <v>65</v>
      </c>
      <c r="I79" s="10" t="s">
        <v>2</v>
      </c>
      <c r="J79" s="10" t="s">
        <v>8</v>
      </c>
      <c r="K79" s="11">
        <v>69</v>
      </c>
      <c r="L79" s="10" t="s">
        <v>9</v>
      </c>
      <c r="M79" s="11">
        <v>57.65</v>
      </c>
      <c r="N79" s="11" t="str">
        <f t="shared" si="1"/>
        <v>Pass</v>
      </c>
      <c r="O79" s="13" t="s">
        <v>5</v>
      </c>
      <c r="P79" s="13" t="str">
        <f>IF(AND(Placement_Data_Full_Class!$J79="Yes",Placement_Data_Full_Class!$H79&gt;70%),"High Priority", "Standard")</f>
        <v>High Priority</v>
      </c>
      <c r="Q79" s="12">
        <v>500000</v>
      </c>
      <c r="R79" s="10">
        <f>IF(Placement_Data_Full_Class!$K79&gt;90,Placement_Data_Full_Class!$Q79+(Placement_Data_Full_Class!$Q79*5%),Placement_Data_Full_Class!$Q79)</f>
        <v>500000</v>
      </c>
    </row>
    <row r="80" spans="1:18" x14ac:dyDescent="0.3">
      <c r="A80" s="10">
        <v>79</v>
      </c>
      <c r="B80" s="10" t="s">
        <v>29</v>
      </c>
      <c r="C80" s="11">
        <v>84</v>
      </c>
      <c r="D80" s="10" t="s">
        <v>0</v>
      </c>
      <c r="E80" s="2">
        <v>90.9</v>
      </c>
      <c r="F80" s="10" t="s">
        <v>0</v>
      </c>
      <c r="G80" s="10" t="s">
        <v>7</v>
      </c>
      <c r="H80" s="11">
        <v>64.5</v>
      </c>
      <c r="I80" s="10" t="s">
        <v>2</v>
      </c>
      <c r="J80" s="10" t="s">
        <v>3</v>
      </c>
      <c r="K80" s="11">
        <v>86.04</v>
      </c>
      <c r="L80" s="10" t="s">
        <v>9</v>
      </c>
      <c r="M80" s="11">
        <v>59.42</v>
      </c>
      <c r="N80" s="11" t="str">
        <f t="shared" si="1"/>
        <v>Pass</v>
      </c>
      <c r="O80" s="10" t="s">
        <v>5</v>
      </c>
      <c r="P80" s="10" t="str">
        <f>IF(AND(Placement_Data_Full_Class!$J80="Yes",Placement_Data_Full_Class!$H80&gt;70%),"High Priority", "Standard")</f>
        <v>Standard</v>
      </c>
      <c r="Q80" s="12">
        <v>270000</v>
      </c>
      <c r="R80" s="10">
        <f>IF(Placement_Data_Full_Class!$K80&gt;90,Placement_Data_Full_Class!$Q80+(Placement_Data_Full_Class!$Q80*5%),Placement_Data_Full_Class!$Q80)</f>
        <v>270000</v>
      </c>
    </row>
    <row r="81" spans="1:18" x14ac:dyDescent="0.3">
      <c r="A81" s="13">
        <v>80</v>
      </c>
      <c r="B81" s="13" t="s">
        <v>30</v>
      </c>
      <c r="C81" s="14">
        <v>69</v>
      </c>
      <c r="D81" s="13" t="s">
        <v>6</v>
      </c>
      <c r="E81" s="3">
        <v>62</v>
      </c>
      <c r="F81" s="13" t="s">
        <v>6</v>
      </c>
      <c r="G81" s="13" t="s">
        <v>7</v>
      </c>
      <c r="H81" s="14">
        <v>66</v>
      </c>
      <c r="I81" s="13" t="s">
        <v>2</v>
      </c>
      <c r="J81" s="13" t="s">
        <v>3</v>
      </c>
      <c r="K81" s="14">
        <v>75</v>
      </c>
      <c r="L81" s="13" t="s">
        <v>4</v>
      </c>
      <c r="M81" s="14">
        <v>67.989999999999995</v>
      </c>
      <c r="N81" s="14" t="str">
        <f t="shared" si="1"/>
        <v>First Class</v>
      </c>
      <c r="O81" s="13" t="s">
        <v>12</v>
      </c>
      <c r="P81" s="13" t="str">
        <f>IF(AND(Placement_Data_Full_Class!$J81="Yes",Placement_Data_Full_Class!$H81&gt;70%),"High Priority", "Standard")</f>
        <v>Standard</v>
      </c>
      <c r="Q81" s="15">
        <v>0</v>
      </c>
      <c r="R81" s="10">
        <f>IF(Placement_Data_Full_Class!$K81&gt;90,Placement_Data_Full_Class!$Q81+(Placement_Data_Full_Class!$Q81*5%),Placement_Data_Full_Class!$Q81)</f>
        <v>0</v>
      </c>
    </row>
    <row r="82" spans="1:18" x14ac:dyDescent="0.3">
      <c r="A82" s="10">
        <v>81</v>
      </c>
      <c r="B82" s="10" t="s">
        <v>30</v>
      </c>
      <c r="C82" s="11">
        <v>69</v>
      </c>
      <c r="D82" s="10" t="s">
        <v>0</v>
      </c>
      <c r="E82" s="2">
        <v>62</v>
      </c>
      <c r="F82" s="10" t="s">
        <v>0</v>
      </c>
      <c r="G82" s="10" t="s">
        <v>1</v>
      </c>
      <c r="H82" s="11">
        <v>69</v>
      </c>
      <c r="I82" s="10" t="s">
        <v>11</v>
      </c>
      <c r="J82" s="10" t="s">
        <v>8</v>
      </c>
      <c r="K82" s="11">
        <v>67</v>
      </c>
      <c r="L82" s="10" t="s">
        <v>4</v>
      </c>
      <c r="M82" s="11">
        <v>62.35</v>
      </c>
      <c r="N82" s="11" t="str">
        <f t="shared" si="1"/>
        <v>First Class</v>
      </c>
      <c r="O82" s="10" t="s">
        <v>5</v>
      </c>
      <c r="P82" s="10" t="str">
        <f>IF(AND(Placement_Data_Full_Class!$J82="Yes",Placement_Data_Full_Class!$H82&gt;70%),"High Priority", "Standard")</f>
        <v>High Priority</v>
      </c>
      <c r="Q82" s="12">
        <v>240000</v>
      </c>
      <c r="R82" s="10">
        <f>IF(Placement_Data_Full_Class!$K82&gt;90,Placement_Data_Full_Class!$Q82+(Placement_Data_Full_Class!$Q82*5%),Placement_Data_Full_Class!$Q82)</f>
        <v>240000</v>
      </c>
    </row>
    <row r="83" spans="1:18" x14ac:dyDescent="0.3">
      <c r="A83" s="13">
        <v>82</v>
      </c>
      <c r="B83" s="13" t="s">
        <v>29</v>
      </c>
      <c r="C83" s="14">
        <v>81.7</v>
      </c>
      <c r="D83" s="13" t="s">
        <v>0</v>
      </c>
      <c r="E83" s="3">
        <v>63</v>
      </c>
      <c r="F83" s="13" t="s">
        <v>0</v>
      </c>
      <c r="G83" s="13" t="s">
        <v>7</v>
      </c>
      <c r="H83" s="14">
        <v>67</v>
      </c>
      <c r="I83" s="13" t="s">
        <v>11</v>
      </c>
      <c r="J83" s="13" t="s">
        <v>8</v>
      </c>
      <c r="K83" s="14">
        <v>86</v>
      </c>
      <c r="L83" s="13" t="s">
        <v>9</v>
      </c>
      <c r="M83" s="14">
        <v>70.2</v>
      </c>
      <c r="N83" s="14" t="str">
        <f t="shared" si="1"/>
        <v>First Class</v>
      </c>
      <c r="O83" s="13" t="s">
        <v>5</v>
      </c>
      <c r="P83" s="13" t="str">
        <f>IF(AND(Placement_Data_Full_Class!$J83="Yes",Placement_Data_Full_Class!$H83&gt;70%),"High Priority", "Standard")</f>
        <v>High Priority</v>
      </c>
      <c r="Q83" s="15">
        <v>300000</v>
      </c>
      <c r="R83" s="10">
        <f>IF(Placement_Data_Full_Class!$K83&gt;90,Placement_Data_Full_Class!$Q83+(Placement_Data_Full_Class!$Q83*5%),Placement_Data_Full_Class!$Q83)</f>
        <v>300000</v>
      </c>
    </row>
    <row r="84" spans="1:18" x14ac:dyDescent="0.3">
      <c r="A84" s="10">
        <v>83</v>
      </c>
      <c r="B84" s="10" t="s">
        <v>29</v>
      </c>
      <c r="C84" s="11">
        <v>63</v>
      </c>
      <c r="D84" s="10" t="s">
        <v>6</v>
      </c>
      <c r="E84" s="2">
        <v>67</v>
      </c>
      <c r="F84" s="10" t="s">
        <v>6</v>
      </c>
      <c r="G84" s="10" t="s">
        <v>1</v>
      </c>
      <c r="H84" s="11">
        <v>74</v>
      </c>
      <c r="I84" s="10" t="s">
        <v>11</v>
      </c>
      <c r="J84" s="10" t="s">
        <v>3</v>
      </c>
      <c r="K84" s="11">
        <v>82</v>
      </c>
      <c r="L84" s="10" t="s">
        <v>9</v>
      </c>
      <c r="M84" s="11">
        <v>60.44</v>
      </c>
      <c r="N84" s="11" t="str">
        <f t="shared" si="1"/>
        <v>First Class</v>
      </c>
      <c r="O84" s="10" t="s">
        <v>12</v>
      </c>
      <c r="P84" s="10" t="str">
        <f>IF(AND(Placement_Data_Full_Class!$J84="Yes",Placement_Data_Full_Class!$H84&gt;70%),"High Priority", "Standard")</f>
        <v>Standard</v>
      </c>
      <c r="Q84" s="12">
        <v>0</v>
      </c>
      <c r="R84" s="10">
        <f>IF(Placement_Data_Full_Class!$K84&gt;90,Placement_Data_Full_Class!$Q84+(Placement_Data_Full_Class!$Q84*5%),Placement_Data_Full_Class!$Q84)</f>
        <v>0</v>
      </c>
    </row>
    <row r="85" spans="1:18" x14ac:dyDescent="0.3">
      <c r="A85" s="13">
        <v>84</v>
      </c>
      <c r="B85" s="13" t="s">
        <v>29</v>
      </c>
      <c r="C85" s="14">
        <v>84</v>
      </c>
      <c r="D85" s="13" t="s">
        <v>0</v>
      </c>
      <c r="E85" s="3">
        <v>79</v>
      </c>
      <c r="F85" s="13" t="s">
        <v>0</v>
      </c>
      <c r="G85" s="13" t="s">
        <v>7</v>
      </c>
      <c r="H85" s="14">
        <v>68</v>
      </c>
      <c r="I85" s="13" t="s">
        <v>2</v>
      </c>
      <c r="J85" s="13" t="s">
        <v>8</v>
      </c>
      <c r="K85" s="14">
        <v>84</v>
      </c>
      <c r="L85" s="13" t="s">
        <v>9</v>
      </c>
      <c r="M85" s="14">
        <v>66.69</v>
      </c>
      <c r="N85" s="14" t="str">
        <f t="shared" si="1"/>
        <v>First Class</v>
      </c>
      <c r="O85" s="13" t="s">
        <v>5</v>
      </c>
      <c r="P85" s="13" t="str">
        <f>IF(AND(Placement_Data_Full_Class!$J85="Yes",Placement_Data_Full_Class!$H85&gt;70%),"High Priority", "Standard")</f>
        <v>High Priority</v>
      </c>
      <c r="Q85" s="15">
        <v>300000</v>
      </c>
      <c r="R85" s="10">
        <f>IF(Placement_Data_Full_Class!$K85&gt;90,Placement_Data_Full_Class!$Q85+(Placement_Data_Full_Class!$Q85*5%),Placement_Data_Full_Class!$Q85)</f>
        <v>300000</v>
      </c>
    </row>
    <row r="86" spans="1:18" x14ac:dyDescent="0.3">
      <c r="A86" s="10">
        <v>85</v>
      </c>
      <c r="B86" s="10" t="s">
        <v>29</v>
      </c>
      <c r="C86" s="11">
        <v>70</v>
      </c>
      <c r="D86" s="10" t="s">
        <v>6</v>
      </c>
      <c r="E86" s="2">
        <v>63</v>
      </c>
      <c r="F86" s="10" t="s">
        <v>0</v>
      </c>
      <c r="G86" s="10" t="s">
        <v>7</v>
      </c>
      <c r="H86" s="11">
        <v>70</v>
      </c>
      <c r="I86" s="10" t="s">
        <v>2</v>
      </c>
      <c r="J86" s="10" t="s">
        <v>8</v>
      </c>
      <c r="K86" s="11">
        <v>55</v>
      </c>
      <c r="L86" s="10" t="s">
        <v>9</v>
      </c>
      <c r="M86" s="11">
        <v>62</v>
      </c>
      <c r="N86" s="11" t="str">
        <f t="shared" si="1"/>
        <v>First Class</v>
      </c>
      <c r="O86" s="10" t="s">
        <v>5</v>
      </c>
      <c r="P86" s="10" t="str">
        <f>IF(AND(Placement_Data_Full_Class!$J86="Yes",Placement_Data_Full_Class!$H86&gt;70%),"High Priority", "Standard")</f>
        <v>High Priority</v>
      </c>
      <c r="Q86" s="12">
        <v>300000</v>
      </c>
      <c r="R86" s="10">
        <f>IF(Placement_Data_Full_Class!$K86&gt;90,Placement_Data_Full_Class!$Q86+(Placement_Data_Full_Class!$Q86*5%),Placement_Data_Full_Class!$Q86)</f>
        <v>300000</v>
      </c>
    </row>
    <row r="87" spans="1:18" x14ac:dyDescent="0.3">
      <c r="A87" s="13">
        <v>86</v>
      </c>
      <c r="B87" s="13" t="s">
        <v>30</v>
      </c>
      <c r="C87" s="14">
        <v>83.84</v>
      </c>
      <c r="D87" s="13" t="s">
        <v>0</v>
      </c>
      <c r="E87" s="3">
        <v>89.83</v>
      </c>
      <c r="F87" s="13" t="s">
        <v>0</v>
      </c>
      <c r="G87" s="13" t="s">
        <v>1</v>
      </c>
      <c r="H87" s="14">
        <v>77.2</v>
      </c>
      <c r="I87" s="13" t="s">
        <v>11</v>
      </c>
      <c r="J87" s="13" t="s">
        <v>8</v>
      </c>
      <c r="K87" s="14">
        <v>78.739999999999995</v>
      </c>
      <c r="L87" s="13" t="s">
        <v>9</v>
      </c>
      <c r="M87" s="14">
        <v>76.180000000000007</v>
      </c>
      <c r="N87" s="14" t="str">
        <f t="shared" si="1"/>
        <v>Distinction</v>
      </c>
      <c r="O87" s="13" t="s">
        <v>5</v>
      </c>
      <c r="P87" s="13" t="str">
        <f>IF(AND(Placement_Data_Full_Class!$J87="Yes",Placement_Data_Full_Class!$H87&gt;70%),"High Priority", "Standard")</f>
        <v>High Priority</v>
      </c>
      <c r="Q87" s="15">
        <v>400000</v>
      </c>
      <c r="R87" s="10">
        <f>IF(Placement_Data_Full_Class!$K87&gt;90,Placement_Data_Full_Class!$Q87+(Placement_Data_Full_Class!$Q87*5%),Placement_Data_Full_Class!$Q87)</f>
        <v>400000</v>
      </c>
    </row>
    <row r="88" spans="1:18" x14ac:dyDescent="0.3">
      <c r="A88" s="10">
        <v>87</v>
      </c>
      <c r="B88" s="10" t="s">
        <v>29</v>
      </c>
      <c r="C88" s="11">
        <v>62</v>
      </c>
      <c r="D88" s="10" t="s">
        <v>0</v>
      </c>
      <c r="E88" s="2">
        <v>63</v>
      </c>
      <c r="F88" s="10" t="s">
        <v>0</v>
      </c>
      <c r="G88" s="10" t="s">
        <v>1</v>
      </c>
      <c r="H88" s="11">
        <v>64</v>
      </c>
      <c r="I88" s="10" t="s">
        <v>11</v>
      </c>
      <c r="J88" s="10" t="s">
        <v>3</v>
      </c>
      <c r="K88" s="11">
        <v>67</v>
      </c>
      <c r="L88" s="10" t="s">
        <v>9</v>
      </c>
      <c r="M88" s="11">
        <v>57.03</v>
      </c>
      <c r="N88" s="11" t="str">
        <f t="shared" si="1"/>
        <v>Pass</v>
      </c>
      <c r="O88" s="10" t="s">
        <v>5</v>
      </c>
      <c r="P88" s="10" t="str">
        <f>IF(AND(Placement_Data_Full_Class!$J88="Yes",Placement_Data_Full_Class!$H88&gt;70%),"High Priority", "Standard")</f>
        <v>Standard</v>
      </c>
      <c r="Q88" s="12">
        <v>220000</v>
      </c>
      <c r="R88" s="10">
        <f>IF(Placement_Data_Full_Class!$K88&gt;90,Placement_Data_Full_Class!$Q88+(Placement_Data_Full_Class!$Q88*5%),Placement_Data_Full_Class!$Q88)</f>
        <v>220000</v>
      </c>
    </row>
    <row r="89" spans="1:18" x14ac:dyDescent="0.3">
      <c r="A89" s="13">
        <v>88</v>
      </c>
      <c r="B89" s="13" t="s">
        <v>29</v>
      </c>
      <c r="C89" s="14">
        <v>59.6</v>
      </c>
      <c r="D89" s="13" t="s">
        <v>6</v>
      </c>
      <c r="E89" s="3">
        <v>51</v>
      </c>
      <c r="F89" s="13" t="s">
        <v>6</v>
      </c>
      <c r="G89" s="13" t="s">
        <v>7</v>
      </c>
      <c r="H89" s="14">
        <v>60</v>
      </c>
      <c r="I89" s="13" t="s">
        <v>0</v>
      </c>
      <c r="J89" s="13" t="s">
        <v>3</v>
      </c>
      <c r="K89" s="14">
        <v>75</v>
      </c>
      <c r="L89" s="13" t="s">
        <v>4</v>
      </c>
      <c r="M89" s="14">
        <v>59.08</v>
      </c>
      <c r="N89" s="14" t="str">
        <f t="shared" si="1"/>
        <v>Pass</v>
      </c>
      <c r="O89" s="13" t="s">
        <v>12</v>
      </c>
      <c r="P89" s="13" t="str">
        <f>IF(AND(Placement_Data_Full_Class!$J89="Yes",Placement_Data_Full_Class!$H89&gt;70%),"High Priority", "Standard")</f>
        <v>Standard</v>
      </c>
      <c r="Q89" s="15">
        <v>0</v>
      </c>
      <c r="R89" s="10">
        <f>IF(Placement_Data_Full_Class!$K89&gt;90,Placement_Data_Full_Class!$Q89+(Placement_Data_Full_Class!$Q89*5%),Placement_Data_Full_Class!$Q89)</f>
        <v>0</v>
      </c>
    </row>
    <row r="90" spans="1:18" x14ac:dyDescent="0.3">
      <c r="A90" s="10">
        <v>89</v>
      </c>
      <c r="B90" s="10" t="s">
        <v>30</v>
      </c>
      <c r="C90" s="11">
        <v>66</v>
      </c>
      <c r="D90" s="10" t="s">
        <v>6</v>
      </c>
      <c r="E90" s="2">
        <v>62</v>
      </c>
      <c r="F90" s="10" t="s">
        <v>6</v>
      </c>
      <c r="G90" s="10" t="s">
        <v>1</v>
      </c>
      <c r="H90" s="11">
        <v>73</v>
      </c>
      <c r="I90" s="10" t="s">
        <v>11</v>
      </c>
      <c r="J90" s="10" t="s">
        <v>3</v>
      </c>
      <c r="K90" s="11">
        <v>58</v>
      </c>
      <c r="L90" s="10" t="s">
        <v>4</v>
      </c>
      <c r="M90" s="11">
        <v>64.36</v>
      </c>
      <c r="N90" s="11" t="str">
        <f t="shared" si="1"/>
        <v>First Class</v>
      </c>
      <c r="O90" s="10" t="s">
        <v>5</v>
      </c>
      <c r="P90" s="10" t="str">
        <f>IF(AND(Placement_Data_Full_Class!$J90="Yes",Placement_Data_Full_Class!$H90&gt;70%),"High Priority", "Standard")</f>
        <v>Standard</v>
      </c>
      <c r="Q90" s="12">
        <v>210000</v>
      </c>
      <c r="R90" s="10">
        <f>IF(Placement_Data_Full_Class!$K90&gt;90,Placement_Data_Full_Class!$Q90+(Placement_Data_Full_Class!$Q90*5%),Placement_Data_Full_Class!$Q90)</f>
        <v>210000</v>
      </c>
    </row>
    <row r="91" spans="1:18" x14ac:dyDescent="0.3">
      <c r="A91" s="10">
        <v>90</v>
      </c>
      <c r="B91" s="10" t="s">
        <v>30</v>
      </c>
      <c r="C91" s="11">
        <v>84</v>
      </c>
      <c r="D91" s="10" t="s">
        <v>0</v>
      </c>
      <c r="E91" s="2">
        <v>75</v>
      </c>
      <c r="F91" s="10" t="s">
        <v>0</v>
      </c>
      <c r="G91" s="10" t="s">
        <v>7</v>
      </c>
      <c r="H91" s="11">
        <v>69</v>
      </c>
      <c r="I91" s="10" t="s">
        <v>2</v>
      </c>
      <c r="J91" s="10" t="s">
        <v>8</v>
      </c>
      <c r="K91" s="11">
        <v>62</v>
      </c>
      <c r="L91" s="10" t="s">
        <v>4</v>
      </c>
      <c r="M91" s="11">
        <v>62.36</v>
      </c>
      <c r="N91" s="11" t="str">
        <f t="shared" si="1"/>
        <v>First Class</v>
      </c>
      <c r="O91" s="13" t="s">
        <v>5</v>
      </c>
      <c r="P91" s="13" t="str">
        <f>IF(AND(Placement_Data_Full_Class!$J91="Yes",Placement_Data_Full_Class!$H91&gt;70%),"High Priority", "Standard")</f>
        <v>High Priority</v>
      </c>
      <c r="Q91" s="12">
        <v>210000</v>
      </c>
      <c r="R91" s="10">
        <f>IF(Placement_Data_Full_Class!$K91&gt;90,Placement_Data_Full_Class!$Q91+(Placement_Data_Full_Class!$Q91*5%),Placement_Data_Full_Class!$Q91)</f>
        <v>210000</v>
      </c>
    </row>
    <row r="92" spans="1:18" x14ac:dyDescent="0.3">
      <c r="A92" s="10">
        <v>91</v>
      </c>
      <c r="B92" s="10" t="s">
        <v>30</v>
      </c>
      <c r="C92" s="11">
        <v>85</v>
      </c>
      <c r="D92" s="10" t="s">
        <v>0</v>
      </c>
      <c r="E92" s="2">
        <v>90</v>
      </c>
      <c r="F92" s="10" t="s">
        <v>0</v>
      </c>
      <c r="G92" s="10" t="s">
        <v>1</v>
      </c>
      <c r="H92" s="11">
        <v>82</v>
      </c>
      <c r="I92" s="10" t="s">
        <v>11</v>
      </c>
      <c r="J92" s="10" t="s">
        <v>3</v>
      </c>
      <c r="K92" s="11">
        <v>92</v>
      </c>
      <c r="L92" s="10" t="s">
        <v>9</v>
      </c>
      <c r="M92" s="11">
        <v>68.03</v>
      </c>
      <c r="N92" s="11" t="str">
        <f t="shared" si="1"/>
        <v>First Class</v>
      </c>
      <c r="O92" s="10" t="s">
        <v>5</v>
      </c>
      <c r="P92" s="10" t="str">
        <f>IF(AND(Placement_Data_Full_Class!$J92="Yes",Placement_Data_Full_Class!$H92&gt;70%),"High Priority", "Standard")</f>
        <v>Standard</v>
      </c>
      <c r="Q92" s="12">
        <v>300000</v>
      </c>
      <c r="R92" s="10">
        <f>IF(Placement_Data_Full_Class!$K92&gt;90,Placement_Data_Full_Class!$Q92+(Placement_Data_Full_Class!$Q92*5%),Placement_Data_Full_Class!$Q92)</f>
        <v>315000</v>
      </c>
    </row>
    <row r="93" spans="1:18" x14ac:dyDescent="0.3">
      <c r="A93" s="10">
        <v>92</v>
      </c>
      <c r="B93" s="10" t="s">
        <v>29</v>
      </c>
      <c r="C93" s="11">
        <v>52</v>
      </c>
      <c r="D93" s="10" t="s">
        <v>6</v>
      </c>
      <c r="E93" s="2">
        <v>57</v>
      </c>
      <c r="F93" s="10" t="s">
        <v>6</v>
      </c>
      <c r="G93" s="10" t="s">
        <v>1</v>
      </c>
      <c r="H93" s="11">
        <v>50.8</v>
      </c>
      <c r="I93" s="10" t="s">
        <v>11</v>
      </c>
      <c r="J93" s="10" t="s">
        <v>3</v>
      </c>
      <c r="K93" s="11">
        <v>67</v>
      </c>
      <c r="L93" s="10" t="s">
        <v>4</v>
      </c>
      <c r="M93" s="11">
        <v>62.79</v>
      </c>
      <c r="N93" s="11" t="str">
        <f t="shared" si="1"/>
        <v>First Class</v>
      </c>
      <c r="O93" s="13" t="s">
        <v>12</v>
      </c>
      <c r="P93" s="13" t="str">
        <f>IF(AND(Placement_Data_Full_Class!$J93="Yes",Placement_Data_Full_Class!$H93&gt;70%),"High Priority", "Standard")</f>
        <v>Standard</v>
      </c>
      <c r="Q93" s="12">
        <v>0</v>
      </c>
      <c r="R93" s="10">
        <f>IF(Placement_Data_Full_Class!$K93&gt;90,Placement_Data_Full_Class!$Q93+(Placement_Data_Full_Class!$Q93*5%),Placement_Data_Full_Class!$Q93)</f>
        <v>0</v>
      </c>
    </row>
    <row r="94" spans="1:18" x14ac:dyDescent="0.3">
      <c r="A94" s="10">
        <v>93</v>
      </c>
      <c r="B94" s="10" t="s">
        <v>30</v>
      </c>
      <c r="C94" s="11">
        <v>60.23</v>
      </c>
      <c r="D94" s="10" t="s">
        <v>6</v>
      </c>
      <c r="E94" s="2">
        <v>69</v>
      </c>
      <c r="F94" s="10" t="s">
        <v>6</v>
      </c>
      <c r="G94" s="10" t="s">
        <v>7</v>
      </c>
      <c r="H94" s="11">
        <v>66</v>
      </c>
      <c r="I94" s="10" t="s">
        <v>11</v>
      </c>
      <c r="J94" s="10" t="s">
        <v>3</v>
      </c>
      <c r="K94" s="11">
        <v>72</v>
      </c>
      <c r="L94" s="10" t="s">
        <v>9</v>
      </c>
      <c r="M94" s="11">
        <v>59.47</v>
      </c>
      <c r="N94" s="11" t="str">
        <f t="shared" si="1"/>
        <v>Pass</v>
      </c>
      <c r="O94" s="10" t="s">
        <v>5</v>
      </c>
      <c r="P94" s="10" t="str">
        <f>IF(AND(Placement_Data_Full_Class!$J94="Yes",Placement_Data_Full_Class!$H94&gt;70%),"High Priority", "Standard")</f>
        <v>Standard</v>
      </c>
      <c r="Q94" s="12">
        <v>230000</v>
      </c>
      <c r="R94" s="10">
        <f>IF(Placement_Data_Full_Class!$K94&gt;90,Placement_Data_Full_Class!$Q94+(Placement_Data_Full_Class!$Q94*5%),Placement_Data_Full_Class!$Q94)</f>
        <v>230000</v>
      </c>
    </row>
    <row r="95" spans="1:18" x14ac:dyDescent="0.3">
      <c r="A95" s="13">
        <v>94</v>
      </c>
      <c r="B95" s="13" t="s">
        <v>29</v>
      </c>
      <c r="C95" s="14">
        <v>52</v>
      </c>
      <c r="D95" s="13" t="s">
        <v>6</v>
      </c>
      <c r="E95" s="3">
        <v>62</v>
      </c>
      <c r="F95" s="13" t="s">
        <v>6</v>
      </c>
      <c r="G95" s="13" t="s">
        <v>1</v>
      </c>
      <c r="H95" s="14">
        <v>54</v>
      </c>
      <c r="I95" s="13" t="s">
        <v>11</v>
      </c>
      <c r="J95" s="13" t="s">
        <v>3</v>
      </c>
      <c r="K95" s="14">
        <v>72</v>
      </c>
      <c r="L95" s="13" t="s">
        <v>4</v>
      </c>
      <c r="M95" s="14">
        <v>55.41</v>
      </c>
      <c r="N95" s="14" t="str">
        <f t="shared" si="1"/>
        <v>Pass</v>
      </c>
      <c r="O95" s="13" t="s">
        <v>12</v>
      </c>
      <c r="P95" s="13" t="str">
        <f>IF(AND(Placement_Data_Full_Class!$J95="Yes",Placement_Data_Full_Class!$H95&gt;70%),"High Priority", "Standard")</f>
        <v>Standard</v>
      </c>
      <c r="Q95" s="15">
        <v>0</v>
      </c>
      <c r="R95" s="10">
        <f>IF(Placement_Data_Full_Class!$K95&gt;90,Placement_Data_Full_Class!$Q95+(Placement_Data_Full_Class!$Q95*5%),Placement_Data_Full_Class!$Q95)</f>
        <v>0</v>
      </c>
    </row>
    <row r="96" spans="1:18" x14ac:dyDescent="0.3">
      <c r="A96" s="10">
        <v>95</v>
      </c>
      <c r="B96" s="10" t="s">
        <v>29</v>
      </c>
      <c r="C96" s="11">
        <v>58</v>
      </c>
      <c r="D96" s="10" t="s">
        <v>6</v>
      </c>
      <c r="E96" s="2">
        <v>62</v>
      </c>
      <c r="F96" s="10" t="s">
        <v>6</v>
      </c>
      <c r="G96" s="10" t="s">
        <v>1</v>
      </c>
      <c r="H96" s="11">
        <v>64</v>
      </c>
      <c r="I96" s="10" t="s">
        <v>11</v>
      </c>
      <c r="J96" s="10" t="s">
        <v>3</v>
      </c>
      <c r="K96" s="11">
        <v>53.88</v>
      </c>
      <c r="L96" s="10" t="s">
        <v>9</v>
      </c>
      <c r="M96" s="11">
        <v>54.97</v>
      </c>
      <c r="N96" s="11" t="str">
        <f t="shared" si="1"/>
        <v>Pass</v>
      </c>
      <c r="O96" s="10" t="s">
        <v>5</v>
      </c>
      <c r="P96" s="10" t="str">
        <f>IF(AND(Placement_Data_Full_Class!$J96="Yes",Placement_Data_Full_Class!$H96&gt;70%),"High Priority", "Standard")</f>
        <v>Standard</v>
      </c>
      <c r="Q96" s="12">
        <v>260000</v>
      </c>
      <c r="R96" s="10">
        <f>IF(Placement_Data_Full_Class!$K96&gt;90,Placement_Data_Full_Class!$Q96+(Placement_Data_Full_Class!$Q96*5%),Placement_Data_Full_Class!$Q96)</f>
        <v>260000</v>
      </c>
    </row>
    <row r="97" spans="1:18" x14ac:dyDescent="0.3">
      <c r="A97" s="13">
        <v>96</v>
      </c>
      <c r="B97" s="13" t="s">
        <v>29</v>
      </c>
      <c r="C97" s="14">
        <v>73</v>
      </c>
      <c r="D97" s="13" t="s">
        <v>6</v>
      </c>
      <c r="E97" s="3">
        <v>78</v>
      </c>
      <c r="F97" s="13" t="s">
        <v>0</v>
      </c>
      <c r="G97" s="13" t="s">
        <v>1</v>
      </c>
      <c r="H97" s="14">
        <v>65</v>
      </c>
      <c r="I97" s="13" t="s">
        <v>11</v>
      </c>
      <c r="J97" s="13" t="s">
        <v>8</v>
      </c>
      <c r="K97" s="14">
        <v>95.46</v>
      </c>
      <c r="L97" s="13" t="s">
        <v>9</v>
      </c>
      <c r="M97" s="14">
        <v>62.16</v>
      </c>
      <c r="N97" s="14" t="str">
        <f t="shared" si="1"/>
        <v>First Class</v>
      </c>
      <c r="O97" s="13" t="s">
        <v>5</v>
      </c>
      <c r="P97" s="13" t="str">
        <f>IF(AND(Placement_Data_Full_Class!$J97="Yes",Placement_Data_Full_Class!$H97&gt;70%),"High Priority", "Standard")</f>
        <v>High Priority</v>
      </c>
      <c r="Q97" s="15">
        <v>420000</v>
      </c>
      <c r="R97" s="10">
        <f>IF(Placement_Data_Full_Class!$K97&gt;90,Placement_Data_Full_Class!$Q97+(Placement_Data_Full_Class!$Q97*5%),Placement_Data_Full_Class!$Q97)</f>
        <v>441000</v>
      </c>
    </row>
    <row r="98" spans="1:18" x14ac:dyDescent="0.3">
      <c r="A98" s="10">
        <v>97</v>
      </c>
      <c r="B98" s="10" t="s">
        <v>30</v>
      </c>
      <c r="C98" s="11">
        <v>76</v>
      </c>
      <c r="D98" s="10" t="s">
        <v>6</v>
      </c>
      <c r="E98" s="2">
        <v>70</v>
      </c>
      <c r="F98" s="10" t="s">
        <v>6</v>
      </c>
      <c r="G98" s="10" t="s">
        <v>7</v>
      </c>
      <c r="H98" s="11">
        <v>76</v>
      </c>
      <c r="I98" s="10" t="s">
        <v>11</v>
      </c>
      <c r="J98" s="10" t="s">
        <v>8</v>
      </c>
      <c r="K98" s="11">
        <v>66</v>
      </c>
      <c r="L98" s="10" t="s">
        <v>9</v>
      </c>
      <c r="M98" s="11">
        <v>64.44</v>
      </c>
      <c r="N98" s="11" t="str">
        <f t="shared" si="1"/>
        <v>First Class</v>
      </c>
      <c r="O98" s="10" t="s">
        <v>5</v>
      </c>
      <c r="P98" s="10" t="str">
        <f>IF(AND(Placement_Data_Full_Class!$J98="Yes",Placement_Data_Full_Class!$H98&gt;70%),"High Priority", "Standard")</f>
        <v>High Priority</v>
      </c>
      <c r="Q98" s="12">
        <v>300000</v>
      </c>
      <c r="R98" s="10">
        <f>IF(Placement_Data_Full_Class!$K98&gt;90,Placement_Data_Full_Class!$Q98+(Placement_Data_Full_Class!$Q98*5%),Placement_Data_Full_Class!$Q98)</f>
        <v>300000</v>
      </c>
    </row>
    <row r="99" spans="1:18" x14ac:dyDescent="0.3">
      <c r="A99" s="10">
        <v>98</v>
      </c>
      <c r="B99" s="10" t="s">
        <v>30</v>
      </c>
      <c r="C99" s="11">
        <v>70.5</v>
      </c>
      <c r="D99" s="10" t="s">
        <v>6</v>
      </c>
      <c r="E99" s="2">
        <v>62.5</v>
      </c>
      <c r="F99" s="10" t="s">
        <v>0</v>
      </c>
      <c r="G99" s="10" t="s">
        <v>1</v>
      </c>
      <c r="H99" s="11">
        <v>61</v>
      </c>
      <c r="I99" s="10" t="s">
        <v>11</v>
      </c>
      <c r="J99" s="10" t="s">
        <v>3</v>
      </c>
      <c r="K99" s="11">
        <v>93.91</v>
      </c>
      <c r="L99" s="10" t="s">
        <v>9</v>
      </c>
      <c r="M99" s="11">
        <v>69.03</v>
      </c>
      <c r="N99" s="11" t="str">
        <f t="shared" si="1"/>
        <v>First Class</v>
      </c>
      <c r="O99" s="13" t="s">
        <v>12</v>
      </c>
      <c r="P99" s="13" t="str">
        <f>IF(AND(Placement_Data_Full_Class!$J99="Yes",Placement_Data_Full_Class!$H99&gt;70%),"High Priority", "Standard")</f>
        <v>Standard</v>
      </c>
      <c r="Q99" s="12">
        <v>0</v>
      </c>
      <c r="R99" s="10">
        <f>IF(Placement_Data_Full_Class!$K99&gt;90,Placement_Data_Full_Class!$Q99+(Placement_Data_Full_Class!$Q99*5%),Placement_Data_Full_Class!$Q99)</f>
        <v>0</v>
      </c>
    </row>
    <row r="100" spans="1:18" x14ac:dyDescent="0.3">
      <c r="A100" s="10">
        <v>99</v>
      </c>
      <c r="B100" s="10" t="s">
        <v>30</v>
      </c>
      <c r="C100" s="11">
        <v>69</v>
      </c>
      <c r="D100" s="10" t="s">
        <v>6</v>
      </c>
      <c r="E100" s="2">
        <v>73</v>
      </c>
      <c r="F100" s="10" t="s">
        <v>6</v>
      </c>
      <c r="G100" s="10" t="s">
        <v>1</v>
      </c>
      <c r="H100" s="11">
        <v>65</v>
      </c>
      <c r="I100" s="10" t="s">
        <v>11</v>
      </c>
      <c r="J100" s="10" t="s">
        <v>3</v>
      </c>
      <c r="K100" s="11">
        <v>70</v>
      </c>
      <c r="L100" s="10" t="s">
        <v>9</v>
      </c>
      <c r="M100" s="11">
        <v>57.31</v>
      </c>
      <c r="N100" s="11" t="str">
        <f t="shared" si="1"/>
        <v>Pass</v>
      </c>
      <c r="O100" s="10" t="s">
        <v>5</v>
      </c>
      <c r="P100" s="10" t="str">
        <f>IF(AND(Placement_Data_Full_Class!$J100="Yes",Placement_Data_Full_Class!$H100&gt;70%),"High Priority", "Standard")</f>
        <v>Standard</v>
      </c>
      <c r="Q100" s="12">
        <v>220000</v>
      </c>
      <c r="R100" s="10">
        <f>IF(Placement_Data_Full_Class!$K100&gt;90,Placement_Data_Full_Class!$Q100+(Placement_Data_Full_Class!$Q100*5%),Placement_Data_Full_Class!$Q100)</f>
        <v>220000</v>
      </c>
    </row>
    <row r="101" spans="1:18" x14ac:dyDescent="0.3">
      <c r="A101" s="10">
        <v>100</v>
      </c>
      <c r="B101" s="10" t="s">
        <v>29</v>
      </c>
      <c r="C101" s="11">
        <v>54</v>
      </c>
      <c r="D101" s="10" t="s">
        <v>6</v>
      </c>
      <c r="E101" s="2">
        <v>82</v>
      </c>
      <c r="F101" s="10" t="s">
        <v>0</v>
      </c>
      <c r="G101" s="10" t="s">
        <v>1</v>
      </c>
      <c r="H101" s="11">
        <v>63</v>
      </c>
      <c r="I101" s="10" t="s">
        <v>2</v>
      </c>
      <c r="J101" s="10" t="s">
        <v>3</v>
      </c>
      <c r="K101" s="11">
        <v>50</v>
      </c>
      <c r="L101" s="10" t="s">
        <v>9</v>
      </c>
      <c r="M101" s="11">
        <v>59.47</v>
      </c>
      <c r="N101" s="11" t="str">
        <f t="shared" si="1"/>
        <v>Pass</v>
      </c>
      <c r="O101" s="13" t="s">
        <v>12</v>
      </c>
      <c r="P101" s="13" t="str">
        <f>IF(AND(Placement_Data_Full_Class!$J101="Yes",Placement_Data_Full_Class!$H101&gt;70%),"High Priority", "Standard")</f>
        <v>Standard</v>
      </c>
      <c r="Q101" s="12">
        <v>0</v>
      </c>
      <c r="R101" s="10">
        <f>IF(Placement_Data_Full_Class!$K101&gt;90,Placement_Data_Full_Class!$Q101+(Placement_Data_Full_Class!$Q101*5%),Placement_Data_Full_Class!$Q101)</f>
        <v>0</v>
      </c>
    </row>
    <row r="102" spans="1:18" x14ac:dyDescent="0.3">
      <c r="A102" s="10">
        <v>101</v>
      </c>
      <c r="B102" s="10" t="s">
        <v>30</v>
      </c>
      <c r="C102" s="11">
        <v>45</v>
      </c>
      <c r="D102" s="10" t="s">
        <v>0</v>
      </c>
      <c r="E102" s="2">
        <v>57</v>
      </c>
      <c r="F102" s="10" t="s">
        <v>0</v>
      </c>
      <c r="G102" s="10" t="s">
        <v>1</v>
      </c>
      <c r="H102" s="11">
        <v>58</v>
      </c>
      <c r="I102" s="10" t="s">
        <v>11</v>
      </c>
      <c r="J102" s="10" t="s">
        <v>8</v>
      </c>
      <c r="K102" s="11">
        <v>56.39</v>
      </c>
      <c r="L102" s="10" t="s">
        <v>4</v>
      </c>
      <c r="M102" s="11">
        <v>64.95</v>
      </c>
      <c r="N102" s="11" t="str">
        <f t="shared" si="1"/>
        <v>First Class</v>
      </c>
      <c r="O102" s="10" t="s">
        <v>12</v>
      </c>
      <c r="P102" s="10" t="str">
        <f>IF(AND(Placement_Data_Full_Class!$J102="Yes",Placement_Data_Full_Class!$H102&gt;70%),"High Priority", "Standard")</f>
        <v>High Priority</v>
      </c>
      <c r="Q102" s="12">
        <v>0</v>
      </c>
      <c r="R102" s="10">
        <f>IF(Placement_Data_Full_Class!$K102&gt;90,Placement_Data_Full_Class!$Q102+(Placement_Data_Full_Class!$Q102*5%),Placement_Data_Full_Class!$Q102)</f>
        <v>0</v>
      </c>
    </row>
    <row r="103" spans="1:18" x14ac:dyDescent="0.3">
      <c r="A103" s="13">
        <v>102</v>
      </c>
      <c r="B103" s="13" t="s">
        <v>29</v>
      </c>
      <c r="C103" s="14">
        <v>63</v>
      </c>
      <c r="D103" s="13" t="s">
        <v>6</v>
      </c>
      <c r="E103" s="3">
        <v>72</v>
      </c>
      <c r="F103" s="13" t="s">
        <v>6</v>
      </c>
      <c r="G103" s="13" t="s">
        <v>1</v>
      </c>
      <c r="H103" s="14">
        <v>68</v>
      </c>
      <c r="I103" s="13" t="s">
        <v>11</v>
      </c>
      <c r="J103" s="13" t="s">
        <v>3</v>
      </c>
      <c r="K103" s="14">
        <v>78</v>
      </c>
      <c r="L103" s="13" t="s">
        <v>4</v>
      </c>
      <c r="M103" s="14">
        <v>60.44</v>
      </c>
      <c r="N103" s="14" t="str">
        <f t="shared" si="1"/>
        <v>First Class</v>
      </c>
      <c r="O103" s="13" t="s">
        <v>5</v>
      </c>
      <c r="P103" s="13" t="str">
        <f>IF(AND(Placement_Data_Full_Class!$J103="Yes",Placement_Data_Full_Class!$H103&gt;70%),"High Priority", "Standard")</f>
        <v>Standard</v>
      </c>
      <c r="Q103" s="15">
        <v>380000</v>
      </c>
      <c r="R103" s="10">
        <f>IF(Placement_Data_Full_Class!$K103&gt;90,Placement_Data_Full_Class!$Q103+(Placement_Data_Full_Class!$Q103*5%),Placement_Data_Full_Class!$Q103)</f>
        <v>380000</v>
      </c>
    </row>
    <row r="104" spans="1:18" x14ac:dyDescent="0.3">
      <c r="A104" s="10">
        <v>103</v>
      </c>
      <c r="B104" s="10" t="s">
        <v>30</v>
      </c>
      <c r="C104" s="11">
        <v>77</v>
      </c>
      <c r="D104" s="10" t="s">
        <v>0</v>
      </c>
      <c r="E104" s="2">
        <v>61</v>
      </c>
      <c r="F104" s="10" t="s">
        <v>0</v>
      </c>
      <c r="G104" s="10" t="s">
        <v>1</v>
      </c>
      <c r="H104" s="11">
        <v>68</v>
      </c>
      <c r="I104" s="10" t="s">
        <v>11</v>
      </c>
      <c r="J104" s="10" t="s">
        <v>8</v>
      </c>
      <c r="K104" s="11">
        <v>57.5</v>
      </c>
      <c r="L104" s="10" t="s">
        <v>9</v>
      </c>
      <c r="M104" s="11">
        <v>61.31</v>
      </c>
      <c r="N104" s="11" t="str">
        <f t="shared" si="1"/>
        <v>First Class</v>
      </c>
      <c r="O104" s="10" t="s">
        <v>5</v>
      </c>
      <c r="P104" s="10" t="str">
        <f>IF(AND(Placement_Data_Full_Class!$J104="Yes",Placement_Data_Full_Class!$H104&gt;70%),"High Priority", "Standard")</f>
        <v>High Priority</v>
      </c>
      <c r="Q104" s="12">
        <v>300000</v>
      </c>
      <c r="R104" s="10">
        <f>IF(Placement_Data_Full_Class!$K104&gt;90,Placement_Data_Full_Class!$Q104+(Placement_Data_Full_Class!$Q104*5%),Placement_Data_Full_Class!$Q104)</f>
        <v>300000</v>
      </c>
    </row>
    <row r="105" spans="1:18" x14ac:dyDescent="0.3">
      <c r="A105" s="10">
        <v>104</v>
      </c>
      <c r="B105" s="10" t="s">
        <v>29</v>
      </c>
      <c r="C105" s="11">
        <v>73</v>
      </c>
      <c r="D105" s="10" t="s">
        <v>6</v>
      </c>
      <c r="E105" s="2">
        <v>78</v>
      </c>
      <c r="F105" s="10" t="s">
        <v>6</v>
      </c>
      <c r="G105" s="10" t="s">
        <v>7</v>
      </c>
      <c r="H105" s="11">
        <v>73</v>
      </c>
      <c r="I105" s="10" t="s">
        <v>2</v>
      </c>
      <c r="J105" s="10" t="s">
        <v>8</v>
      </c>
      <c r="K105" s="11">
        <v>85</v>
      </c>
      <c r="L105" s="10" t="s">
        <v>4</v>
      </c>
      <c r="M105" s="11">
        <v>65.83</v>
      </c>
      <c r="N105" s="11" t="str">
        <f t="shared" si="1"/>
        <v>First Class</v>
      </c>
      <c r="O105" s="13" t="s">
        <v>5</v>
      </c>
      <c r="P105" s="13" t="str">
        <f>IF(AND(Placement_Data_Full_Class!$J105="Yes",Placement_Data_Full_Class!$H105&gt;70%),"High Priority", "Standard")</f>
        <v>High Priority</v>
      </c>
      <c r="Q105" s="12">
        <v>240000</v>
      </c>
      <c r="R105" s="10">
        <f>IF(Placement_Data_Full_Class!$K105&gt;90,Placement_Data_Full_Class!$Q105+(Placement_Data_Full_Class!$Q105*5%),Placement_Data_Full_Class!$Q105)</f>
        <v>240000</v>
      </c>
    </row>
    <row r="106" spans="1:18" x14ac:dyDescent="0.3">
      <c r="A106" s="10">
        <v>105</v>
      </c>
      <c r="B106" s="10" t="s">
        <v>29</v>
      </c>
      <c r="C106" s="11">
        <v>69</v>
      </c>
      <c r="D106" s="10" t="s">
        <v>6</v>
      </c>
      <c r="E106" s="2">
        <v>63</v>
      </c>
      <c r="F106" s="10" t="s">
        <v>0</v>
      </c>
      <c r="G106" s="10" t="s">
        <v>7</v>
      </c>
      <c r="H106" s="11">
        <v>65</v>
      </c>
      <c r="I106" s="10" t="s">
        <v>11</v>
      </c>
      <c r="J106" s="10" t="s">
        <v>8</v>
      </c>
      <c r="K106" s="11">
        <v>55</v>
      </c>
      <c r="L106" s="10" t="s">
        <v>4</v>
      </c>
      <c r="M106" s="11">
        <v>58.23</v>
      </c>
      <c r="N106" s="11" t="str">
        <f t="shared" si="1"/>
        <v>Pass</v>
      </c>
      <c r="O106" s="10" t="s">
        <v>5</v>
      </c>
      <c r="P106" s="10" t="str">
        <f>IF(AND(Placement_Data_Full_Class!$J106="Yes",Placement_Data_Full_Class!$H106&gt;70%),"High Priority", "Standard")</f>
        <v>High Priority</v>
      </c>
      <c r="Q106" s="12">
        <v>360000</v>
      </c>
      <c r="R106" s="10">
        <f>IF(Placement_Data_Full_Class!$K106&gt;90,Placement_Data_Full_Class!$Q106+(Placement_Data_Full_Class!$Q106*5%),Placement_Data_Full_Class!$Q106)</f>
        <v>360000</v>
      </c>
    </row>
    <row r="107" spans="1:18" x14ac:dyDescent="0.3">
      <c r="A107" s="10">
        <v>106</v>
      </c>
      <c r="B107" s="10" t="s">
        <v>29</v>
      </c>
      <c r="C107" s="11">
        <v>59</v>
      </c>
      <c r="D107" s="10" t="s">
        <v>6</v>
      </c>
      <c r="E107" s="2">
        <v>64</v>
      </c>
      <c r="F107" s="10" t="s">
        <v>0</v>
      </c>
      <c r="G107" s="10" t="s">
        <v>7</v>
      </c>
      <c r="H107" s="11">
        <v>58</v>
      </c>
      <c r="I107" s="10" t="s">
        <v>2</v>
      </c>
      <c r="J107" s="10" t="s">
        <v>3</v>
      </c>
      <c r="K107" s="11">
        <v>85</v>
      </c>
      <c r="L107" s="10" t="s">
        <v>4</v>
      </c>
      <c r="M107" s="11">
        <v>55.3</v>
      </c>
      <c r="N107" s="11" t="str">
        <f t="shared" si="1"/>
        <v>Pass</v>
      </c>
      <c r="O107" s="13" t="s">
        <v>12</v>
      </c>
      <c r="P107" s="13" t="str">
        <f>IF(AND(Placement_Data_Full_Class!$J107="Yes",Placement_Data_Full_Class!$H107&gt;70%),"High Priority", "Standard")</f>
        <v>Standard</v>
      </c>
      <c r="Q107" s="12">
        <v>0</v>
      </c>
      <c r="R107" s="10">
        <f>IF(Placement_Data_Full_Class!$K107&gt;90,Placement_Data_Full_Class!$Q107+(Placement_Data_Full_Class!$Q107*5%),Placement_Data_Full_Class!$Q107)</f>
        <v>0</v>
      </c>
    </row>
    <row r="108" spans="1:18" x14ac:dyDescent="0.3">
      <c r="A108" s="10">
        <v>107</v>
      </c>
      <c r="B108" s="10" t="s">
        <v>29</v>
      </c>
      <c r="C108" s="11">
        <v>61.08</v>
      </c>
      <c r="D108" s="10" t="s">
        <v>0</v>
      </c>
      <c r="E108" s="2">
        <v>50</v>
      </c>
      <c r="F108" s="10" t="s">
        <v>0</v>
      </c>
      <c r="G108" s="10" t="s">
        <v>7</v>
      </c>
      <c r="H108" s="11">
        <v>54</v>
      </c>
      <c r="I108" s="10" t="s">
        <v>2</v>
      </c>
      <c r="J108" s="10" t="s">
        <v>3</v>
      </c>
      <c r="K108" s="11">
        <v>71</v>
      </c>
      <c r="L108" s="10" t="s">
        <v>9</v>
      </c>
      <c r="M108" s="11">
        <v>65.69</v>
      </c>
      <c r="N108" s="11" t="str">
        <f t="shared" si="1"/>
        <v>First Class</v>
      </c>
      <c r="O108" s="10" t="s">
        <v>12</v>
      </c>
      <c r="P108" s="10" t="str">
        <f>IF(AND(Placement_Data_Full_Class!$J108="Yes",Placement_Data_Full_Class!$H108&gt;70%),"High Priority", "Standard")</f>
        <v>Standard</v>
      </c>
      <c r="Q108" s="12">
        <v>0</v>
      </c>
      <c r="R108" s="10">
        <f>IF(Placement_Data_Full_Class!$K108&gt;90,Placement_Data_Full_Class!$Q108+(Placement_Data_Full_Class!$Q108*5%),Placement_Data_Full_Class!$Q108)</f>
        <v>0</v>
      </c>
    </row>
    <row r="109" spans="1:18" x14ac:dyDescent="0.3">
      <c r="A109" s="10">
        <v>108</v>
      </c>
      <c r="B109" s="10" t="s">
        <v>29</v>
      </c>
      <c r="C109" s="11">
        <v>82</v>
      </c>
      <c r="D109" s="10" t="s">
        <v>0</v>
      </c>
      <c r="E109" s="2">
        <v>90</v>
      </c>
      <c r="F109" s="10" t="s">
        <v>0</v>
      </c>
      <c r="G109" s="10" t="s">
        <v>1</v>
      </c>
      <c r="H109" s="11">
        <v>83</v>
      </c>
      <c r="I109" s="10" t="s">
        <v>11</v>
      </c>
      <c r="J109" s="10" t="s">
        <v>3</v>
      </c>
      <c r="K109" s="11">
        <v>80</v>
      </c>
      <c r="L109" s="10" t="s">
        <v>4</v>
      </c>
      <c r="M109" s="11">
        <v>73.52</v>
      </c>
      <c r="N109" s="11" t="str">
        <f t="shared" si="1"/>
        <v>First Class</v>
      </c>
      <c r="O109" s="13" t="s">
        <v>5</v>
      </c>
      <c r="P109" s="13" t="str">
        <f>IF(AND(Placement_Data_Full_Class!$J109="Yes",Placement_Data_Full_Class!$H109&gt;70%),"High Priority", "Standard")</f>
        <v>Standard</v>
      </c>
      <c r="Q109" s="12">
        <v>200000</v>
      </c>
      <c r="R109" s="10">
        <f>IF(Placement_Data_Full_Class!$K109&gt;90,Placement_Data_Full_Class!$Q109+(Placement_Data_Full_Class!$Q109*5%),Placement_Data_Full_Class!$Q109)</f>
        <v>200000</v>
      </c>
    </row>
    <row r="110" spans="1:18" x14ac:dyDescent="0.3">
      <c r="A110" s="10">
        <v>109</v>
      </c>
      <c r="B110" s="10" t="s">
        <v>29</v>
      </c>
      <c r="C110" s="11">
        <v>61</v>
      </c>
      <c r="D110" s="10" t="s">
        <v>6</v>
      </c>
      <c r="E110" s="2">
        <v>82</v>
      </c>
      <c r="F110" s="10" t="s">
        <v>6</v>
      </c>
      <c r="G110" s="10" t="s">
        <v>1</v>
      </c>
      <c r="H110" s="11">
        <v>69</v>
      </c>
      <c r="I110" s="10" t="s">
        <v>11</v>
      </c>
      <c r="J110" s="10" t="s">
        <v>3</v>
      </c>
      <c r="K110" s="11">
        <v>84</v>
      </c>
      <c r="L110" s="10" t="s">
        <v>9</v>
      </c>
      <c r="M110" s="11">
        <v>58.31</v>
      </c>
      <c r="N110" s="11" t="str">
        <f t="shared" si="1"/>
        <v>Pass</v>
      </c>
      <c r="O110" s="10" t="s">
        <v>5</v>
      </c>
      <c r="P110" s="10" t="str">
        <f>IF(AND(Placement_Data_Full_Class!$J110="Yes",Placement_Data_Full_Class!$H110&gt;70%),"High Priority", "Standard")</f>
        <v>Standard</v>
      </c>
      <c r="Q110" s="12">
        <v>300000</v>
      </c>
      <c r="R110" s="10">
        <f>IF(Placement_Data_Full_Class!$K110&gt;90,Placement_Data_Full_Class!$Q110+(Placement_Data_Full_Class!$Q110*5%),Placement_Data_Full_Class!$Q110)</f>
        <v>300000</v>
      </c>
    </row>
    <row r="111" spans="1:18" x14ac:dyDescent="0.3">
      <c r="A111" s="10">
        <v>110</v>
      </c>
      <c r="B111" s="10" t="s">
        <v>29</v>
      </c>
      <c r="C111" s="11">
        <v>52</v>
      </c>
      <c r="D111" s="10" t="s">
        <v>6</v>
      </c>
      <c r="E111" s="2">
        <v>63</v>
      </c>
      <c r="F111" s="10" t="s">
        <v>0</v>
      </c>
      <c r="G111" s="10" t="s">
        <v>7</v>
      </c>
      <c r="H111" s="11">
        <v>65</v>
      </c>
      <c r="I111" s="10" t="s">
        <v>2</v>
      </c>
      <c r="J111" s="10" t="s">
        <v>8</v>
      </c>
      <c r="K111" s="11">
        <v>86</v>
      </c>
      <c r="L111" s="10" t="s">
        <v>4</v>
      </c>
      <c r="M111" s="11">
        <v>56.09</v>
      </c>
      <c r="N111" s="11" t="str">
        <f t="shared" si="1"/>
        <v>Pass</v>
      </c>
      <c r="O111" s="13" t="s">
        <v>12</v>
      </c>
      <c r="P111" s="13" t="str">
        <f>IF(AND(Placement_Data_Full_Class!$J111="Yes",Placement_Data_Full_Class!$H111&gt;70%),"High Priority", "Standard")</f>
        <v>High Priority</v>
      </c>
      <c r="Q111" s="12">
        <v>0</v>
      </c>
      <c r="R111" s="10">
        <f>IF(Placement_Data_Full_Class!$K111&gt;90,Placement_Data_Full_Class!$Q111+(Placement_Data_Full_Class!$Q111*5%),Placement_Data_Full_Class!$Q111)</f>
        <v>0</v>
      </c>
    </row>
    <row r="112" spans="1:18" x14ac:dyDescent="0.3">
      <c r="A112" s="10">
        <v>111</v>
      </c>
      <c r="B112" s="10" t="s">
        <v>30</v>
      </c>
      <c r="C112" s="11">
        <v>69.5</v>
      </c>
      <c r="D112" s="10" t="s">
        <v>6</v>
      </c>
      <c r="E112" s="2">
        <v>70</v>
      </c>
      <c r="F112" s="10" t="s">
        <v>6</v>
      </c>
      <c r="G112" s="10" t="s">
        <v>7</v>
      </c>
      <c r="H112" s="11">
        <v>72</v>
      </c>
      <c r="I112" s="10" t="s">
        <v>2</v>
      </c>
      <c r="J112" s="10" t="s">
        <v>3</v>
      </c>
      <c r="K112" s="11">
        <v>57.2</v>
      </c>
      <c r="L112" s="10" t="s">
        <v>4</v>
      </c>
      <c r="M112" s="11">
        <v>54.8</v>
      </c>
      <c r="N112" s="11" t="str">
        <f t="shared" si="1"/>
        <v>Pass</v>
      </c>
      <c r="O112" s="10" t="s">
        <v>5</v>
      </c>
      <c r="P112" s="10" t="str">
        <f>IF(AND(Placement_Data_Full_Class!$J112="Yes",Placement_Data_Full_Class!$H112&gt;70%),"High Priority", "Standard")</f>
        <v>Standard</v>
      </c>
      <c r="Q112" s="12">
        <v>250000</v>
      </c>
      <c r="R112" s="10">
        <f>IF(Placement_Data_Full_Class!$K112&gt;90,Placement_Data_Full_Class!$Q112+(Placement_Data_Full_Class!$Q112*5%),Placement_Data_Full_Class!$Q112)</f>
        <v>250000</v>
      </c>
    </row>
    <row r="113" spans="1:18" x14ac:dyDescent="0.3">
      <c r="A113" s="13">
        <v>112</v>
      </c>
      <c r="B113" s="13" t="s">
        <v>29</v>
      </c>
      <c r="C113" s="14">
        <v>51</v>
      </c>
      <c r="D113" s="13" t="s">
        <v>0</v>
      </c>
      <c r="E113" s="3">
        <v>54</v>
      </c>
      <c r="F113" s="13" t="s">
        <v>0</v>
      </c>
      <c r="G113" s="13" t="s">
        <v>7</v>
      </c>
      <c r="H113" s="14">
        <v>61</v>
      </c>
      <c r="I113" s="13" t="s">
        <v>2</v>
      </c>
      <c r="J113" s="13" t="s">
        <v>3</v>
      </c>
      <c r="K113" s="14">
        <v>60</v>
      </c>
      <c r="L113" s="13" t="s">
        <v>4</v>
      </c>
      <c r="M113" s="14">
        <v>60.64</v>
      </c>
      <c r="N113" s="14" t="str">
        <f t="shared" si="1"/>
        <v>First Class</v>
      </c>
      <c r="O113" s="13" t="s">
        <v>12</v>
      </c>
      <c r="P113" s="13" t="str">
        <f>IF(AND(Placement_Data_Full_Class!$J113="Yes",Placement_Data_Full_Class!$H113&gt;70%),"High Priority", "Standard")</f>
        <v>Standard</v>
      </c>
      <c r="Q113" s="15">
        <v>0</v>
      </c>
      <c r="R113" s="10">
        <f>IF(Placement_Data_Full_Class!$K113&gt;90,Placement_Data_Full_Class!$Q113+(Placement_Data_Full_Class!$Q113*5%),Placement_Data_Full_Class!$Q113)</f>
        <v>0</v>
      </c>
    </row>
    <row r="114" spans="1:18" x14ac:dyDescent="0.3">
      <c r="A114" s="10">
        <v>113</v>
      </c>
      <c r="B114" s="10" t="s">
        <v>29</v>
      </c>
      <c r="C114" s="11">
        <v>58</v>
      </c>
      <c r="D114" s="10" t="s">
        <v>0</v>
      </c>
      <c r="E114" s="2">
        <v>61</v>
      </c>
      <c r="F114" s="10" t="s">
        <v>0</v>
      </c>
      <c r="G114" s="10" t="s">
        <v>1</v>
      </c>
      <c r="H114" s="11">
        <v>61</v>
      </c>
      <c r="I114" s="10" t="s">
        <v>11</v>
      </c>
      <c r="J114" s="10" t="s">
        <v>3</v>
      </c>
      <c r="K114" s="11">
        <v>58</v>
      </c>
      <c r="L114" s="10" t="s">
        <v>4</v>
      </c>
      <c r="M114" s="11">
        <v>53.94</v>
      </c>
      <c r="N114" s="11" t="str">
        <f t="shared" si="1"/>
        <v>Pass</v>
      </c>
      <c r="O114" s="10" t="s">
        <v>5</v>
      </c>
      <c r="P114" s="10" t="str">
        <f>IF(AND(Placement_Data_Full_Class!$J114="Yes",Placement_Data_Full_Class!$H114&gt;70%),"High Priority", "Standard")</f>
        <v>Standard</v>
      </c>
      <c r="Q114" s="12">
        <v>250000</v>
      </c>
      <c r="R114" s="10">
        <f>IF(Placement_Data_Full_Class!$K114&gt;90,Placement_Data_Full_Class!$Q114+(Placement_Data_Full_Class!$Q114*5%),Placement_Data_Full_Class!$Q114)</f>
        <v>250000</v>
      </c>
    </row>
    <row r="115" spans="1:18" x14ac:dyDescent="0.3">
      <c r="A115" s="10">
        <v>114</v>
      </c>
      <c r="B115" s="10" t="s">
        <v>30</v>
      </c>
      <c r="C115" s="11">
        <v>73.959999999999994</v>
      </c>
      <c r="D115" s="10" t="s">
        <v>0</v>
      </c>
      <c r="E115" s="2">
        <v>79</v>
      </c>
      <c r="F115" s="10" t="s">
        <v>0</v>
      </c>
      <c r="G115" s="10" t="s">
        <v>1</v>
      </c>
      <c r="H115" s="11">
        <v>67</v>
      </c>
      <c r="I115" s="10" t="s">
        <v>11</v>
      </c>
      <c r="J115" s="10" t="s">
        <v>3</v>
      </c>
      <c r="K115" s="11">
        <v>72.150000000000006</v>
      </c>
      <c r="L115" s="10" t="s">
        <v>9</v>
      </c>
      <c r="M115" s="11">
        <v>63.08</v>
      </c>
      <c r="N115" s="11" t="str">
        <f t="shared" si="1"/>
        <v>First Class</v>
      </c>
      <c r="O115" s="13" t="s">
        <v>5</v>
      </c>
      <c r="P115" s="13" t="str">
        <f>IF(AND(Placement_Data_Full_Class!$J115="Yes",Placement_Data_Full_Class!$H115&gt;70%),"High Priority", "Standard")</f>
        <v>Standard</v>
      </c>
      <c r="Q115" s="12">
        <v>280000</v>
      </c>
      <c r="R115" s="10">
        <f>IF(Placement_Data_Full_Class!$K115&gt;90,Placement_Data_Full_Class!$Q115+(Placement_Data_Full_Class!$Q115*5%),Placement_Data_Full_Class!$Q115)</f>
        <v>280000</v>
      </c>
    </row>
    <row r="116" spans="1:18" x14ac:dyDescent="0.3">
      <c r="A116" s="10">
        <v>115</v>
      </c>
      <c r="B116" s="10" t="s">
        <v>29</v>
      </c>
      <c r="C116" s="11">
        <v>65</v>
      </c>
      <c r="D116" s="10" t="s">
        <v>6</v>
      </c>
      <c r="E116" s="2">
        <v>68</v>
      </c>
      <c r="F116" s="10" t="s">
        <v>0</v>
      </c>
      <c r="G116" s="10" t="s">
        <v>7</v>
      </c>
      <c r="H116" s="11">
        <v>69</v>
      </c>
      <c r="I116" s="10" t="s">
        <v>11</v>
      </c>
      <c r="J116" s="10" t="s">
        <v>3</v>
      </c>
      <c r="K116" s="11">
        <v>53.7</v>
      </c>
      <c r="L116" s="10" t="s">
        <v>4</v>
      </c>
      <c r="M116" s="11">
        <v>55.01</v>
      </c>
      <c r="N116" s="11" t="str">
        <f t="shared" si="1"/>
        <v>Pass</v>
      </c>
      <c r="O116" s="10" t="s">
        <v>5</v>
      </c>
      <c r="P116" s="10" t="str">
        <f>IF(AND(Placement_Data_Full_Class!$J116="Yes",Placement_Data_Full_Class!$H116&gt;70%),"High Priority", "Standard")</f>
        <v>Standard</v>
      </c>
      <c r="Q116" s="12">
        <v>250000</v>
      </c>
      <c r="R116" s="10">
        <f>IF(Placement_Data_Full_Class!$K116&gt;90,Placement_Data_Full_Class!$Q116+(Placement_Data_Full_Class!$Q116*5%),Placement_Data_Full_Class!$Q116)</f>
        <v>250000</v>
      </c>
    </row>
    <row r="117" spans="1:18" x14ac:dyDescent="0.3">
      <c r="A117" s="10">
        <v>116</v>
      </c>
      <c r="B117" s="10" t="s">
        <v>30</v>
      </c>
      <c r="C117" s="11">
        <v>73</v>
      </c>
      <c r="D117" s="10" t="s">
        <v>0</v>
      </c>
      <c r="E117" s="2">
        <v>63</v>
      </c>
      <c r="F117" s="10" t="s">
        <v>0</v>
      </c>
      <c r="G117" s="10" t="s">
        <v>7</v>
      </c>
      <c r="H117" s="11">
        <v>66</v>
      </c>
      <c r="I117" s="10" t="s">
        <v>11</v>
      </c>
      <c r="J117" s="10" t="s">
        <v>3</v>
      </c>
      <c r="K117" s="11">
        <v>89</v>
      </c>
      <c r="L117" s="10" t="s">
        <v>9</v>
      </c>
      <c r="M117" s="11">
        <v>60.5</v>
      </c>
      <c r="N117" s="11" t="str">
        <f t="shared" si="1"/>
        <v>First Class</v>
      </c>
      <c r="O117" s="13" t="s">
        <v>5</v>
      </c>
      <c r="P117" s="13" t="str">
        <f>IF(AND(Placement_Data_Full_Class!$J117="Yes",Placement_Data_Full_Class!$H117&gt;70%),"High Priority", "Standard")</f>
        <v>Standard</v>
      </c>
      <c r="Q117" s="12">
        <v>216000</v>
      </c>
      <c r="R117" s="10">
        <f>IF(Placement_Data_Full_Class!$K117&gt;90,Placement_Data_Full_Class!$Q117+(Placement_Data_Full_Class!$Q117*5%),Placement_Data_Full_Class!$Q117)</f>
        <v>216000</v>
      </c>
    </row>
    <row r="118" spans="1:18" x14ac:dyDescent="0.3">
      <c r="A118" s="10">
        <v>117</v>
      </c>
      <c r="B118" s="10" t="s">
        <v>29</v>
      </c>
      <c r="C118" s="11">
        <v>68.2</v>
      </c>
      <c r="D118" s="10" t="s">
        <v>6</v>
      </c>
      <c r="E118" s="2">
        <v>72.8</v>
      </c>
      <c r="F118" s="10" t="s">
        <v>6</v>
      </c>
      <c r="G118" s="10" t="s">
        <v>1</v>
      </c>
      <c r="H118" s="11">
        <v>66.599999999999994</v>
      </c>
      <c r="I118" s="10" t="s">
        <v>11</v>
      </c>
      <c r="J118" s="10" t="s">
        <v>8</v>
      </c>
      <c r="K118" s="11">
        <v>96</v>
      </c>
      <c r="L118" s="10" t="s">
        <v>9</v>
      </c>
      <c r="M118" s="11">
        <v>70.849999999999994</v>
      </c>
      <c r="N118" s="11" t="str">
        <f t="shared" si="1"/>
        <v>First Class</v>
      </c>
      <c r="O118" s="10" t="s">
        <v>5</v>
      </c>
      <c r="P118" s="10" t="str">
        <f>IF(AND(Placement_Data_Full_Class!$J118="Yes",Placement_Data_Full_Class!$H118&gt;70%),"High Priority", "Standard")</f>
        <v>High Priority</v>
      </c>
      <c r="Q118" s="12">
        <v>300000</v>
      </c>
      <c r="R118" s="10">
        <f>IF(Placement_Data_Full_Class!$K118&gt;90,Placement_Data_Full_Class!$Q118+(Placement_Data_Full_Class!$Q118*5%),Placement_Data_Full_Class!$Q118)</f>
        <v>315000</v>
      </c>
    </row>
    <row r="119" spans="1:18" x14ac:dyDescent="0.3">
      <c r="A119" s="13">
        <v>118</v>
      </c>
      <c r="B119" s="13" t="s">
        <v>29</v>
      </c>
      <c r="C119" s="14">
        <v>77</v>
      </c>
      <c r="D119" s="13" t="s">
        <v>0</v>
      </c>
      <c r="E119" s="3">
        <v>75</v>
      </c>
      <c r="F119" s="13" t="s">
        <v>0</v>
      </c>
      <c r="G119" s="13" t="s">
        <v>7</v>
      </c>
      <c r="H119" s="14">
        <v>73</v>
      </c>
      <c r="I119" s="13" t="s">
        <v>2</v>
      </c>
      <c r="J119" s="13" t="s">
        <v>3</v>
      </c>
      <c r="K119" s="14">
        <v>80</v>
      </c>
      <c r="L119" s="13" t="s">
        <v>9</v>
      </c>
      <c r="M119" s="14">
        <v>67.05</v>
      </c>
      <c r="N119" s="14" t="str">
        <f t="shared" si="1"/>
        <v>First Class</v>
      </c>
      <c r="O119" s="13" t="s">
        <v>5</v>
      </c>
      <c r="P119" s="13" t="str">
        <f>IF(AND(Placement_Data_Full_Class!$J119="Yes",Placement_Data_Full_Class!$H119&gt;70%),"High Priority", "Standard")</f>
        <v>Standard</v>
      </c>
      <c r="Q119" s="15">
        <v>240000</v>
      </c>
      <c r="R119" s="10">
        <f>IF(Placement_Data_Full_Class!$K119&gt;90,Placement_Data_Full_Class!$Q119+(Placement_Data_Full_Class!$Q119*5%),Placement_Data_Full_Class!$Q119)</f>
        <v>240000</v>
      </c>
    </row>
    <row r="120" spans="1:18" x14ac:dyDescent="0.3">
      <c r="A120" s="10">
        <v>119</v>
      </c>
      <c r="B120" s="10" t="s">
        <v>29</v>
      </c>
      <c r="C120" s="11">
        <v>76</v>
      </c>
      <c r="D120" s="10" t="s">
        <v>6</v>
      </c>
      <c r="E120" s="2">
        <v>80</v>
      </c>
      <c r="F120" s="10" t="s">
        <v>6</v>
      </c>
      <c r="G120" s="10" t="s">
        <v>7</v>
      </c>
      <c r="H120" s="11">
        <v>78</v>
      </c>
      <c r="I120" s="10" t="s">
        <v>2</v>
      </c>
      <c r="J120" s="10" t="s">
        <v>8</v>
      </c>
      <c r="K120" s="11">
        <v>97</v>
      </c>
      <c r="L120" s="10" t="s">
        <v>4</v>
      </c>
      <c r="M120" s="11">
        <v>70.48</v>
      </c>
      <c r="N120" s="11" t="str">
        <f t="shared" si="1"/>
        <v>First Class</v>
      </c>
      <c r="O120" s="10" t="s">
        <v>5</v>
      </c>
      <c r="P120" s="10" t="str">
        <f>IF(AND(Placement_Data_Full_Class!$J120="Yes",Placement_Data_Full_Class!$H120&gt;70%),"High Priority", "Standard")</f>
        <v>High Priority</v>
      </c>
      <c r="Q120" s="12">
        <v>276000</v>
      </c>
      <c r="R120" s="10">
        <f>IF(Placement_Data_Full_Class!$K120&gt;90,Placement_Data_Full_Class!$Q120+(Placement_Data_Full_Class!$Q120*5%),Placement_Data_Full_Class!$Q120)</f>
        <v>289800</v>
      </c>
    </row>
    <row r="121" spans="1:18" x14ac:dyDescent="0.3">
      <c r="A121" s="13">
        <v>120</v>
      </c>
      <c r="B121" s="13" t="s">
        <v>29</v>
      </c>
      <c r="C121" s="14">
        <v>60.8</v>
      </c>
      <c r="D121" s="13" t="s">
        <v>6</v>
      </c>
      <c r="E121" s="3">
        <v>68.400000000000006</v>
      </c>
      <c r="F121" s="13" t="s">
        <v>6</v>
      </c>
      <c r="G121" s="13" t="s">
        <v>1</v>
      </c>
      <c r="H121" s="14">
        <v>64.599999999999994</v>
      </c>
      <c r="I121" s="13" t="s">
        <v>11</v>
      </c>
      <c r="J121" s="13" t="s">
        <v>8</v>
      </c>
      <c r="K121" s="14">
        <v>82.66</v>
      </c>
      <c r="L121" s="13" t="s">
        <v>9</v>
      </c>
      <c r="M121" s="14">
        <v>64.34</v>
      </c>
      <c r="N121" s="14" t="str">
        <f t="shared" si="1"/>
        <v>First Class</v>
      </c>
      <c r="O121" s="13" t="s">
        <v>5</v>
      </c>
      <c r="P121" s="13" t="str">
        <f>IF(AND(Placement_Data_Full_Class!$J121="Yes",Placement_Data_Full_Class!$H121&gt;70%),"High Priority", "Standard")</f>
        <v>High Priority</v>
      </c>
      <c r="Q121" s="15">
        <v>940000</v>
      </c>
      <c r="R121" s="10">
        <f>IF(Placement_Data_Full_Class!$K121&gt;90,Placement_Data_Full_Class!$Q121+(Placement_Data_Full_Class!$Q121*5%),Placement_Data_Full_Class!$Q121)</f>
        <v>940000</v>
      </c>
    </row>
    <row r="122" spans="1:18" x14ac:dyDescent="0.3">
      <c r="A122" s="10">
        <v>121</v>
      </c>
      <c r="B122" s="10" t="s">
        <v>29</v>
      </c>
      <c r="C122" s="11">
        <v>58</v>
      </c>
      <c r="D122" s="10" t="s">
        <v>0</v>
      </c>
      <c r="E122" s="2">
        <v>40</v>
      </c>
      <c r="F122" s="10" t="s">
        <v>0</v>
      </c>
      <c r="G122" s="10" t="s">
        <v>7</v>
      </c>
      <c r="H122" s="11">
        <v>59</v>
      </c>
      <c r="I122" s="10" t="s">
        <v>11</v>
      </c>
      <c r="J122" s="10" t="s">
        <v>3</v>
      </c>
      <c r="K122" s="11">
        <v>73</v>
      </c>
      <c r="L122" s="10" t="s">
        <v>4</v>
      </c>
      <c r="M122" s="11">
        <v>58.81</v>
      </c>
      <c r="N122" s="11" t="str">
        <f t="shared" si="1"/>
        <v>Pass</v>
      </c>
      <c r="O122" s="10" t="s">
        <v>12</v>
      </c>
      <c r="P122" s="10" t="str">
        <f>IF(AND(Placement_Data_Full_Class!$J122="Yes",Placement_Data_Full_Class!$H122&gt;70%),"High Priority", "Standard")</f>
        <v>Standard</v>
      </c>
      <c r="Q122" s="12">
        <v>0</v>
      </c>
      <c r="R122" s="10">
        <f>IF(Placement_Data_Full_Class!$K122&gt;90,Placement_Data_Full_Class!$Q122+(Placement_Data_Full_Class!$Q122*5%),Placement_Data_Full_Class!$Q122)</f>
        <v>0</v>
      </c>
    </row>
    <row r="123" spans="1:18" x14ac:dyDescent="0.3">
      <c r="A123" s="13">
        <v>122</v>
      </c>
      <c r="B123" s="13" t="s">
        <v>30</v>
      </c>
      <c r="C123" s="14">
        <v>64</v>
      </c>
      <c r="D123" s="13" t="s">
        <v>6</v>
      </c>
      <c r="E123" s="3">
        <v>67</v>
      </c>
      <c r="F123" s="13" t="s">
        <v>0</v>
      </c>
      <c r="G123" s="13" t="s">
        <v>7</v>
      </c>
      <c r="H123" s="14">
        <v>69.599999999999994</v>
      </c>
      <c r="I123" s="13" t="s">
        <v>2</v>
      </c>
      <c r="J123" s="13" t="s">
        <v>8</v>
      </c>
      <c r="K123" s="14">
        <v>55.67</v>
      </c>
      <c r="L123" s="13" t="s">
        <v>4</v>
      </c>
      <c r="M123" s="14">
        <v>71.489999999999995</v>
      </c>
      <c r="N123" s="14" t="str">
        <f t="shared" si="1"/>
        <v>First Class</v>
      </c>
      <c r="O123" s="13" t="s">
        <v>5</v>
      </c>
      <c r="P123" s="13" t="str">
        <f>IF(AND(Placement_Data_Full_Class!$J123="Yes",Placement_Data_Full_Class!$H123&gt;70%),"High Priority", "Standard")</f>
        <v>High Priority</v>
      </c>
      <c r="Q123" s="15">
        <v>250000</v>
      </c>
      <c r="R123" s="10">
        <f>IF(Placement_Data_Full_Class!$K123&gt;90,Placement_Data_Full_Class!$Q123+(Placement_Data_Full_Class!$Q123*5%),Placement_Data_Full_Class!$Q123)</f>
        <v>250000</v>
      </c>
    </row>
    <row r="124" spans="1:18" x14ac:dyDescent="0.3">
      <c r="A124" s="10">
        <v>123</v>
      </c>
      <c r="B124" s="10" t="s">
        <v>30</v>
      </c>
      <c r="C124" s="11">
        <v>66.5</v>
      </c>
      <c r="D124" s="10" t="s">
        <v>6</v>
      </c>
      <c r="E124" s="2">
        <v>66.8</v>
      </c>
      <c r="F124" s="10" t="s">
        <v>6</v>
      </c>
      <c r="G124" s="10" t="s">
        <v>10</v>
      </c>
      <c r="H124" s="11">
        <v>69.3</v>
      </c>
      <c r="I124" s="10" t="s">
        <v>11</v>
      </c>
      <c r="J124" s="10" t="s">
        <v>8</v>
      </c>
      <c r="K124" s="11">
        <v>80.400000000000006</v>
      </c>
      <c r="L124" s="10" t="s">
        <v>9</v>
      </c>
      <c r="M124" s="11">
        <v>71</v>
      </c>
      <c r="N124" s="11" t="str">
        <f t="shared" si="1"/>
        <v>First Class</v>
      </c>
      <c r="O124" s="10" t="s">
        <v>5</v>
      </c>
      <c r="P124" s="10" t="str">
        <f>IF(AND(Placement_Data_Full_Class!$J124="Yes",Placement_Data_Full_Class!$H124&gt;70%),"High Priority", "Standard")</f>
        <v>High Priority</v>
      </c>
      <c r="Q124" s="12">
        <v>236000</v>
      </c>
      <c r="R124" s="10">
        <f>IF(Placement_Data_Full_Class!$K124&gt;90,Placement_Data_Full_Class!$Q124+(Placement_Data_Full_Class!$Q124*5%),Placement_Data_Full_Class!$Q124)</f>
        <v>236000</v>
      </c>
    </row>
    <row r="125" spans="1:18" x14ac:dyDescent="0.3">
      <c r="A125" s="13">
        <v>124</v>
      </c>
      <c r="B125" s="13" t="s">
        <v>29</v>
      </c>
      <c r="C125" s="14">
        <v>74</v>
      </c>
      <c r="D125" s="13" t="s">
        <v>0</v>
      </c>
      <c r="E125" s="3">
        <v>59</v>
      </c>
      <c r="F125" s="13" t="s">
        <v>0</v>
      </c>
      <c r="G125" s="13" t="s">
        <v>1</v>
      </c>
      <c r="H125" s="14">
        <v>73</v>
      </c>
      <c r="I125" s="13" t="s">
        <v>11</v>
      </c>
      <c r="J125" s="13" t="s">
        <v>8</v>
      </c>
      <c r="K125" s="14">
        <v>60</v>
      </c>
      <c r="L125" s="13" t="s">
        <v>4</v>
      </c>
      <c r="M125" s="14">
        <v>56.7</v>
      </c>
      <c r="N125" s="14" t="str">
        <f t="shared" si="1"/>
        <v>Pass</v>
      </c>
      <c r="O125" s="13" t="s">
        <v>5</v>
      </c>
      <c r="P125" s="13" t="str">
        <f>IF(AND(Placement_Data_Full_Class!$J125="Yes",Placement_Data_Full_Class!$H125&gt;70%),"High Priority", "Standard")</f>
        <v>High Priority</v>
      </c>
      <c r="Q125" s="15">
        <v>240000</v>
      </c>
      <c r="R125" s="10">
        <f>IF(Placement_Data_Full_Class!$K125&gt;90,Placement_Data_Full_Class!$Q125+(Placement_Data_Full_Class!$Q125*5%),Placement_Data_Full_Class!$Q125)</f>
        <v>240000</v>
      </c>
    </row>
    <row r="126" spans="1:18" x14ac:dyDescent="0.3">
      <c r="A126" s="10">
        <v>125</v>
      </c>
      <c r="B126" s="10" t="s">
        <v>29</v>
      </c>
      <c r="C126" s="11">
        <v>67</v>
      </c>
      <c r="D126" s="10" t="s">
        <v>6</v>
      </c>
      <c r="E126" s="2">
        <v>71</v>
      </c>
      <c r="F126" s="10" t="s">
        <v>6</v>
      </c>
      <c r="G126" s="10" t="s">
        <v>7</v>
      </c>
      <c r="H126" s="11">
        <v>64.33</v>
      </c>
      <c r="I126" s="10" t="s">
        <v>0</v>
      </c>
      <c r="J126" s="10" t="s">
        <v>8</v>
      </c>
      <c r="K126" s="11">
        <v>64</v>
      </c>
      <c r="L126" s="10" t="s">
        <v>4</v>
      </c>
      <c r="M126" s="11">
        <v>61.26</v>
      </c>
      <c r="N126" s="11" t="str">
        <f t="shared" si="1"/>
        <v>First Class</v>
      </c>
      <c r="O126" s="10" t="s">
        <v>5</v>
      </c>
      <c r="P126" s="10" t="str">
        <f>IF(AND(Placement_Data_Full_Class!$J126="Yes",Placement_Data_Full_Class!$H126&gt;70%),"High Priority", "Standard")</f>
        <v>High Priority</v>
      </c>
      <c r="Q126" s="12">
        <v>250000</v>
      </c>
      <c r="R126" s="10">
        <f>IF(Placement_Data_Full_Class!$K126&gt;90,Placement_Data_Full_Class!$Q126+(Placement_Data_Full_Class!$Q126*5%),Placement_Data_Full_Class!$Q126)</f>
        <v>250000</v>
      </c>
    </row>
    <row r="127" spans="1:18" x14ac:dyDescent="0.3">
      <c r="A127" s="10">
        <v>126</v>
      </c>
      <c r="B127" s="10" t="s">
        <v>30</v>
      </c>
      <c r="C127" s="11">
        <v>84</v>
      </c>
      <c r="D127" s="10" t="s">
        <v>6</v>
      </c>
      <c r="E127" s="2">
        <v>73</v>
      </c>
      <c r="F127" s="10" t="s">
        <v>6</v>
      </c>
      <c r="G127" s="10" t="s">
        <v>1</v>
      </c>
      <c r="H127" s="11">
        <v>73</v>
      </c>
      <c r="I127" s="10" t="s">
        <v>11</v>
      </c>
      <c r="J127" s="10" t="s">
        <v>3</v>
      </c>
      <c r="K127" s="11">
        <v>75</v>
      </c>
      <c r="L127" s="10" t="s">
        <v>9</v>
      </c>
      <c r="M127" s="11">
        <v>73.33</v>
      </c>
      <c r="N127" s="11" t="str">
        <f t="shared" si="1"/>
        <v>First Class</v>
      </c>
      <c r="O127" s="13" t="s">
        <v>5</v>
      </c>
      <c r="P127" s="13" t="str">
        <f>IF(AND(Placement_Data_Full_Class!$J127="Yes",Placement_Data_Full_Class!$H127&gt;70%),"High Priority", "Standard")</f>
        <v>Standard</v>
      </c>
      <c r="Q127" s="12">
        <v>350000</v>
      </c>
      <c r="R127" s="10">
        <f>IF(Placement_Data_Full_Class!$K127&gt;90,Placement_Data_Full_Class!$Q127+(Placement_Data_Full_Class!$Q127*5%),Placement_Data_Full_Class!$Q127)</f>
        <v>350000</v>
      </c>
    </row>
    <row r="128" spans="1:18" x14ac:dyDescent="0.3">
      <c r="A128" s="10">
        <v>127</v>
      </c>
      <c r="B128" s="10" t="s">
        <v>30</v>
      </c>
      <c r="C128" s="11">
        <v>79</v>
      </c>
      <c r="D128" s="10" t="s">
        <v>0</v>
      </c>
      <c r="E128" s="2">
        <v>61</v>
      </c>
      <c r="F128" s="10" t="s">
        <v>0</v>
      </c>
      <c r="G128" s="10" t="s">
        <v>7</v>
      </c>
      <c r="H128" s="11">
        <v>75.5</v>
      </c>
      <c r="I128" s="10" t="s">
        <v>2</v>
      </c>
      <c r="J128" s="10" t="s">
        <v>8</v>
      </c>
      <c r="K128" s="11">
        <v>70</v>
      </c>
      <c r="L128" s="10" t="s">
        <v>9</v>
      </c>
      <c r="M128" s="11">
        <v>68.2</v>
      </c>
      <c r="N128" s="11" t="str">
        <f t="shared" si="1"/>
        <v>First Class</v>
      </c>
      <c r="O128" s="10" t="s">
        <v>5</v>
      </c>
      <c r="P128" s="10" t="str">
        <f>IF(AND(Placement_Data_Full_Class!$J128="Yes",Placement_Data_Full_Class!$H128&gt;70%),"High Priority", "Standard")</f>
        <v>High Priority</v>
      </c>
      <c r="Q128" s="12">
        <v>210000</v>
      </c>
      <c r="R128" s="10">
        <f>IF(Placement_Data_Full_Class!$K128&gt;90,Placement_Data_Full_Class!$Q128+(Placement_Data_Full_Class!$Q128*5%),Placement_Data_Full_Class!$Q128)</f>
        <v>210000</v>
      </c>
    </row>
    <row r="129" spans="1:18" x14ac:dyDescent="0.3">
      <c r="A129" s="13">
        <v>128</v>
      </c>
      <c r="B129" s="13" t="s">
        <v>30</v>
      </c>
      <c r="C129" s="14">
        <v>72</v>
      </c>
      <c r="D129" s="13" t="s">
        <v>0</v>
      </c>
      <c r="E129" s="3">
        <v>60</v>
      </c>
      <c r="F129" s="13" t="s">
        <v>0</v>
      </c>
      <c r="G129" s="13" t="s">
        <v>7</v>
      </c>
      <c r="H129" s="14">
        <v>69</v>
      </c>
      <c r="I129" s="13" t="s">
        <v>11</v>
      </c>
      <c r="J129" s="13" t="s">
        <v>3</v>
      </c>
      <c r="K129" s="14">
        <v>55.5</v>
      </c>
      <c r="L129" s="13" t="s">
        <v>4</v>
      </c>
      <c r="M129" s="14">
        <v>58.4</v>
      </c>
      <c r="N129" s="14" t="str">
        <f t="shared" si="1"/>
        <v>Pass</v>
      </c>
      <c r="O129" s="13" t="s">
        <v>5</v>
      </c>
      <c r="P129" s="13" t="str">
        <f>IF(AND(Placement_Data_Full_Class!$J129="Yes",Placement_Data_Full_Class!$H129&gt;70%),"High Priority", "Standard")</f>
        <v>Standard</v>
      </c>
      <c r="Q129" s="15">
        <v>250000</v>
      </c>
      <c r="R129" s="10">
        <f>IF(Placement_Data_Full_Class!$K129&gt;90,Placement_Data_Full_Class!$Q129+(Placement_Data_Full_Class!$Q129*5%),Placement_Data_Full_Class!$Q129)</f>
        <v>250000</v>
      </c>
    </row>
    <row r="130" spans="1:18" x14ac:dyDescent="0.3">
      <c r="A130" s="10">
        <v>129</v>
      </c>
      <c r="B130" s="10" t="s">
        <v>29</v>
      </c>
      <c r="C130" s="11">
        <v>80.400000000000006</v>
      </c>
      <c r="D130" s="10" t="s">
        <v>6</v>
      </c>
      <c r="E130" s="2">
        <v>73.400000000000006</v>
      </c>
      <c r="F130" s="10" t="s">
        <v>6</v>
      </c>
      <c r="G130" s="10" t="s">
        <v>7</v>
      </c>
      <c r="H130" s="11">
        <v>77.72</v>
      </c>
      <c r="I130" s="10" t="s">
        <v>2</v>
      </c>
      <c r="J130" s="10" t="s">
        <v>8</v>
      </c>
      <c r="K130" s="11">
        <v>81.2</v>
      </c>
      <c r="L130" s="10" t="s">
        <v>4</v>
      </c>
      <c r="M130" s="11">
        <v>76.260000000000005</v>
      </c>
      <c r="N130" s="11" t="str">
        <f t="shared" ref="N130:N193" si="2">IF(M130&gt;75,"Distinction",IF(M130&gt;60,"First Class","Pass"))</f>
        <v>Distinction</v>
      </c>
      <c r="O130" s="10" t="s">
        <v>5</v>
      </c>
      <c r="P130" s="10" t="str">
        <f>IF(AND(Placement_Data_Full_Class!$J130="Yes",Placement_Data_Full_Class!$H130&gt;70%),"High Priority", "Standard")</f>
        <v>High Priority</v>
      </c>
      <c r="Q130" s="12">
        <v>400000</v>
      </c>
      <c r="R130" s="10">
        <f>IF(Placement_Data_Full_Class!$K130&gt;90,Placement_Data_Full_Class!$Q130+(Placement_Data_Full_Class!$Q130*5%),Placement_Data_Full_Class!$Q130)</f>
        <v>400000</v>
      </c>
    </row>
    <row r="131" spans="1:18" x14ac:dyDescent="0.3">
      <c r="A131" s="10">
        <v>130</v>
      </c>
      <c r="B131" s="10" t="s">
        <v>29</v>
      </c>
      <c r="C131" s="11">
        <v>76.7</v>
      </c>
      <c r="D131" s="10" t="s">
        <v>6</v>
      </c>
      <c r="E131" s="2">
        <v>89.7</v>
      </c>
      <c r="F131" s="10" t="s">
        <v>0</v>
      </c>
      <c r="G131" s="10" t="s">
        <v>1</v>
      </c>
      <c r="H131" s="11">
        <v>66</v>
      </c>
      <c r="I131" s="10" t="s">
        <v>11</v>
      </c>
      <c r="J131" s="10" t="s">
        <v>8</v>
      </c>
      <c r="K131" s="11">
        <v>90</v>
      </c>
      <c r="L131" s="10" t="s">
        <v>9</v>
      </c>
      <c r="M131" s="11">
        <v>68.55</v>
      </c>
      <c r="N131" s="11" t="str">
        <f t="shared" si="2"/>
        <v>First Class</v>
      </c>
      <c r="O131" s="13" t="s">
        <v>5</v>
      </c>
      <c r="P131" s="13" t="str">
        <f>IF(AND(Placement_Data_Full_Class!$J131="Yes",Placement_Data_Full_Class!$H131&gt;70%),"High Priority", "Standard")</f>
        <v>High Priority</v>
      </c>
      <c r="Q131" s="12">
        <v>250000</v>
      </c>
      <c r="R131" s="10">
        <f>IF(Placement_Data_Full_Class!$K131&gt;90,Placement_Data_Full_Class!$Q131+(Placement_Data_Full_Class!$Q131*5%),Placement_Data_Full_Class!$Q131)</f>
        <v>250000</v>
      </c>
    </row>
    <row r="132" spans="1:18" x14ac:dyDescent="0.3">
      <c r="A132" s="10">
        <v>131</v>
      </c>
      <c r="B132" s="10" t="s">
        <v>29</v>
      </c>
      <c r="C132" s="11">
        <v>62</v>
      </c>
      <c r="D132" s="10" t="s">
        <v>6</v>
      </c>
      <c r="E132" s="2">
        <v>65</v>
      </c>
      <c r="F132" s="10" t="s">
        <v>0</v>
      </c>
      <c r="G132" s="10" t="s">
        <v>1</v>
      </c>
      <c r="H132" s="11">
        <v>60</v>
      </c>
      <c r="I132" s="10" t="s">
        <v>11</v>
      </c>
      <c r="J132" s="10" t="s">
        <v>3</v>
      </c>
      <c r="K132" s="11">
        <v>84</v>
      </c>
      <c r="L132" s="10" t="s">
        <v>9</v>
      </c>
      <c r="M132" s="11">
        <v>64.150000000000006</v>
      </c>
      <c r="N132" s="11" t="str">
        <f t="shared" si="2"/>
        <v>First Class</v>
      </c>
      <c r="O132" s="10" t="s">
        <v>12</v>
      </c>
      <c r="P132" s="10" t="str">
        <f>IF(AND(Placement_Data_Full_Class!$J132="Yes",Placement_Data_Full_Class!$H132&gt;70%),"High Priority", "Standard")</f>
        <v>Standard</v>
      </c>
      <c r="Q132" s="12">
        <v>0</v>
      </c>
      <c r="R132" s="10">
        <f>IF(Placement_Data_Full_Class!$K132&gt;90,Placement_Data_Full_Class!$Q132+(Placement_Data_Full_Class!$Q132*5%),Placement_Data_Full_Class!$Q132)</f>
        <v>0</v>
      </c>
    </row>
    <row r="133" spans="1:18" x14ac:dyDescent="0.3">
      <c r="A133" s="13">
        <v>132</v>
      </c>
      <c r="B133" s="13" t="s">
        <v>30</v>
      </c>
      <c r="C133" s="14">
        <v>74.900000000000006</v>
      </c>
      <c r="D133" s="13" t="s">
        <v>0</v>
      </c>
      <c r="E133" s="3">
        <v>57</v>
      </c>
      <c r="F133" s="13" t="s">
        <v>0</v>
      </c>
      <c r="G133" s="13" t="s">
        <v>7</v>
      </c>
      <c r="H133" s="14">
        <v>62</v>
      </c>
      <c r="I133" s="13" t="s">
        <v>0</v>
      </c>
      <c r="J133" s="13" t="s">
        <v>8</v>
      </c>
      <c r="K133" s="14">
        <v>80</v>
      </c>
      <c r="L133" s="13" t="s">
        <v>9</v>
      </c>
      <c r="M133" s="14">
        <v>60.78</v>
      </c>
      <c r="N133" s="14" t="str">
        <f t="shared" si="2"/>
        <v>First Class</v>
      </c>
      <c r="O133" s="13" t="s">
        <v>5</v>
      </c>
      <c r="P133" s="13" t="str">
        <f>IF(AND(Placement_Data_Full_Class!$J133="Yes",Placement_Data_Full_Class!$H133&gt;70%),"High Priority", "Standard")</f>
        <v>High Priority</v>
      </c>
      <c r="Q133" s="15">
        <v>360000</v>
      </c>
      <c r="R133" s="10">
        <f>IF(Placement_Data_Full_Class!$K133&gt;90,Placement_Data_Full_Class!$Q133+(Placement_Data_Full_Class!$Q133*5%),Placement_Data_Full_Class!$Q133)</f>
        <v>360000</v>
      </c>
    </row>
    <row r="134" spans="1:18" x14ac:dyDescent="0.3">
      <c r="A134" s="10">
        <v>133</v>
      </c>
      <c r="B134" s="10" t="s">
        <v>29</v>
      </c>
      <c r="C134" s="11">
        <v>67</v>
      </c>
      <c r="D134" s="10" t="s">
        <v>0</v>
      </c>
      <c r="E134" s="2">
        <v>68</v>
      </c>
      <c r="F134" s="10" t="s">
        <v>0</v>
      </c>
      <c r="G134" s="10" t="s">
        <v>1</v>
      </c>
      <c r="H134" s="11">
        <v>64</v>
      </c>
      <c r="I134" s="10" t="s">
        <v>11</v>
      </c>
      <c r="J134" s="10" t="s">
        <v>8</v>
      </c>
      <c r="K134" s="11">
        <v>74.400000000000006</v>
      </c>
      <c r="L134" s="10" t="s">
        <v>4</v>
      </c>
      <c r="M134" s="11">
        <v>53.49</v>
      </c>
      <c r="N134" s="11" t="str">
        <f t="shared" si="2"/>
        <v>Pass</v>
      </c>
      <c r="O134" s="10" t="s">
        <v>5</v>
      </c>
      <c r="P134" s="10" t="str">
        <f>IF(AND(Placement_Data_Full_Class!$J134="Yes",Placement_Data_Full_Class!$H134&gt;70%),"High Priority", "Standard")</f>
        <v>High Priority</v>
      </c>
      <c r="Q134" s="12">
        <v>300000</v>
      </c>
      <c r="R134" s="10">
        <f>IF(Placement_Data_Full_Class!$K134&gt;90,Placement_Data_Full_Class!$Q134+(Placement_Data_Full_Class!$Q134*5%),Placement_Data_Full_Class!$Q134)</f>
        <v>300000</v>
      </c>
    </row>
    <row r="135" spans="1:18" x14ac:dyDescent="0.3">
      <c r="A135" s="10">
        <v>134</v>
      </c>
      <c r="B135" s="10" t="s">
        <v>29</v>
      </c>
      <c r="C135" s="11">
        <v>73</v>
      </c>
      <c r="D135" s="10" t="s">
        <v>6</v>
      </c>
      <c r="E135" s="2">
        <v>64</v>
      </c>
      <c r="F135" s="10" t="s">
        <v>0</v>
      </c>
      <c r="G135" s="10" t="s">
        <v>1</v>
      </c>
      <c r="H135" s="11">
        <v>77</v>
      </c>
      <c r="I135" s="10" t="s">
        <v>11</v>
      </c>
      <c r="J135" s="10" t="s">
        <v>8</v>
      </c>
      <c r="K135" s="11">
        <v>65</v>
      </c>
      <c r="L135" s="10" t="s">
        <v>4</v>
      </c>
      <c r="M135" s="11">
        <v>60.98</v>
      </c>
      <c r="N135" s="11" t="str">
        <f t="shared" si="2"/>
        <v>First Class</v>
      </c>
      <c r="O135" s="13" t="s">
        <v>5</v>
      </c>
      <c r="P135" s="13" t="str">
        <f>IF(AND(Placement_Data_Full_Class!$J135="Yes",Placement_Data_Full_Class!$H135&gt;70%),"High Priority", "Standard")</f>
        <v>High Priority</v>
      </c>
      <c r="Q135" s="12">
        <v>250000</v>
      </c>
      <c r="R135" s="10">
        <f>IF(Placement_Data_Full_Class!$K135&gt;90,Placement_Data_Full_Class!$Q135+(Placement_Data_Full_Class!$Q135*5%),Placement_Data_Full_Class!$Q135)</f>
        <v>250000</v>
      </c>
    </row>
    <row r="136" spans="1:18" x14ac:dyDescent="0.3">
      <c r="A136" s="10">
        <v>135</v>
      </c>
      <c r="B136" s="10" t="s">
        <v>30</v>
      </c>
      <c r="C136" s="11">
        <v>77.44</v>
      </c>
      <c r="D136" s="10" t="s">
        <v>6</v>
      </c>
      <c r="E136" s="2">
        <v>92</v>
      </c>
      <c r="F136" s="10" t="s">
        <v>0</v>
      </c>
      <c r="G136" s="10" t="s">
        <v>1</v>
      </c>
      <c r="H136" s="11">
        <v>72</v>
      </c>
      <c r="I136" s="10" t="s">
        <v>11</v>
      </c>
      <c r="J136" s="10" t="s">
        <v>8</v>
      </c>
      <c r="K136" s="11">
        <v>94</v>
      </c>
      <c r="L136" s="10" t="s">
        <v>9</v>
      </c>
      <c r="M136" s="11">
        <v>67.13</v>
      </c>
      <c r="N136" s="11" t="str">
        <f t="shared" si="2"/>
        <v>First Class</v>
      </c>
      <c r="O136" s="10" t="s">
        <v>5</v>
      </c>
      <c r="P136" s="10" t="str">
        <f>IF(AND(Placement_Data_Full_Class!$J136="Yes",Placement_Data_Full_Class!$H136&gt;70%),"High Priority", "Standard")</f>
        <v>High Priority</v>
      </c>
      <c r="Q136" s="12">
        <v>250000</v>
      </c>
      <c r="R136" s="10">
        <f>IF(Placement_Data_Full_Class!$K136&gt;90,Placement_Data_Full_Class!$Q136+(Placement_Data_Full_Class!$Q136*5%),Placement_Data_Full_Class!$Q136)</f>
        <v>262500</v>
      </c>
    </row>
    <row r="137" spans="1:18" x14ac:dyDescent="0.3">
      <c r="A137" s="10">
        <v>136</v>
      </c>
      <c r="B137" s="10" t="s">
        <v>30</v>
      </c>
      <c r="C137" s="11">
        <v>72</v>
      </c>
      <c r="D137" s="10" t="s">
        <v>6</v>
      </c>
      <c r="E137" s="2">
        <v>56</v>
      </c>
      <c r="F137" s="10" t="s">
        <v>0</v>
      </c>
      <c r="G137" s="10" t="s">
        <v>7</v>
      </c>
      <c r="H137" s="11">
        <v>69</v>
      </c>
      <c r="I137" s="10" t="s">
        <v>11</v>
      </c>
      <c r="J137" s="10" t="s">
        <v>3</v>
      </c>
      <c r="K137" s="11">
        <v>55.6</v>
      </c>
      <c r="L137" s="10" t="s">
        <v>4</v>
      </c>
      <c r="M137" s="11">
        <v>65.63</v>
      </c>
      <c r="N137" s="11" t="str">
        <f t="shared" si="2"/>
        <v>First Class</v>
      </c>
      <c r="O137" s="13" t="s">
        <v>5</v>
      </c>
      <c r="P137" s="13" t="str">
        <f>IF(AND(Placement_Data_Full_Class!$J137="Yes",Placement_Data_Full_Class!$H137&gt;70%),"High Priority", "Standard")</f>
        <v>Standard</v>
      </c>
      <c r="Q137" s="12">
        <v>200000</v>
      </c>
      <c r="R137" s="10">
        <f>IF(Placement_Data_Full_Class!$K137&gt;90,Placement_Data_Full_Class!$Q137+(Placement_Data_Full_Class!$Q137*5%),Placement_Data_Full_Class!$Q137)</f>
        <v>200000</v>
      </c>
    </row>
    <row r="138" spans="1:18" x14ac:dyDescent="0.3">
      <c r="A138" s="10">
        <v>137</v>
      </c>
      <c r="B138" s="10" t="s">
        <v>30</v>
      </c>
      <c r="C138" s="11">
        <v>47</v>
      </c>
      <c r="D138" s="10" t="s">
        <v>6</v>
      </c>
      <c r="E138" s="2">
        <v>59</v>
      </c>
      <c r="F138" s="10" t="s">
        <v>6</v>
      </c>
      <c r="G138" s="10" t="s">
        <v>10</v>
      </c>
      <c r="H138" s="11">
        <v>64</v>
      </c>
      <c r="I138" s="10" t="s">
        <v>11</v>
      </c>
      <c r="J138" s="10" t="s">
        <v>3</v>
      </c>
      <c r="K138" s="11">
        <v>78</v>
      </c>
      <c r="L138" s="10" t="s">
        <v>9</v>
      </c>
      <c r="M138" s="11">
        <v>61.58</v>
      </c>
      <c r="N138" s="11" t="str">
        <f t="shared" si="2"/>
        <v>First Class</v>
      </c>
      <c r="O138" s="10" t="s">
        <v>12</v>
      </c>
      <c r="P138" s="10" t="str">
        <f>IF(AND(Placement_Data_Full_Class!$J138="Yes",Placement_Data_Full_Class!$H138&gt;70%),"High Priority", "Standard")</f>
        <v>Standard</v>
      </c>
      <c r="Q138" s="12">
        <v>0</v>
      </c>
      <c r="R138" s="10">
        <f>IF(Placement_Data_Full_Class!$K138&gt;90,Placement_Data_Full_Class!$Q138+(Placement_Data_Full_Class!$Q138*5%),Placement_Data_Full_Class!$Q138)</f>
        <v>0</v>
      </c>
    </row>
    <row r="139" spans="1:18" x14ac:dyDescent="0.3">
      <c r="A139" s="13">
        <v>138</v>
      </c>
      <c r="B139" s="13" t="s">
        <v>29</v>
      </c>
      <c r="C139" s="14">
        <v>67</v>
      </c>
      <c r="D139" s="13" t="s">
        <v>0</v>
      </c>
      <c r="E139" s="3">
        <v>63</v>
      </c>
      <c r="F139" s="13" t="s">
        <v>6</v>
      </c>
      <c r="G139" s="13" t="s">
        <v>1</v>
      </c>
      <c r="H139" s="14">
        <v>72</v>
      </c>
      <c r="I139" s="13" t="s">
        <v>11</v>
      </c>
      <c r="J139" s="13" t="s">
        <v>3</v>
      </c>
      <c r="K139" s="14">
        <v>56</v>
      </c>
      <c r="L139" s="13" t="s">
        <v>4</v>
      </c>
      <c r="M139" s="14">
        <v>60.41</v>
      </c>
      <c r="N139" s="14" t="str">
        <f t="shared" si="2"/>
        <v>First Class</v>
      </c>
      <c r="O139" s="13" t="s">
        <v>5</v>
      </c>
      <c r="P139" s="13" t="str">
        <f>IF(AND(Placement_Data_Full_Class!$J139="Yes",Placement_Data_Full_Class!$H139&gt;70%),"High Priority", "Standard")</f>
        <v>Standard</v>
      </c>
      <c r="Q139" s="15">
        <v>225000</v>
      </c>
      <c r="R139" s="10">
        <f>IF(Placement_Data_Full_Class!$K139&gt;90,Placement_Data_Full_Class!$Q139+(Placement_Data_Full_Class!$Q139*5%),Placement_Data_Full_Class!$Q139)</f>
        <v>225000</v>
      </c>
    </row>
    <row r="140" spans="1:18" x14ac:dyDescent="0.3">
      <c r="A140" s="10">
        <v>139</v>
      </c>
      <c r="B140" s="10" t="s">
        <v>30</v>
      </c>
      <c r="C140" s="11">
        <v>82</v>
      </c>
      <c r="D140" s="10" t="s">
        <v>0</v>
      </c>
      <c r="E140" s="2">
        <v>64</v>
      </c>
      <c r="F140" s="10" t="s">
        <v>0</v>
      </c>
      <c r="G140" s="10" t="s">
        <v>7</v>
      </c>
      <c r="H140" s="11">
        <v>73</v>
      </c>
      <c r="I140" s="10" t="s">
        <v>2</v>
      </c>
      <c r="J140" s="10" t="s">
        <v>8</v>
      </c>
      <c r="K140" s="11">
        <v>96</v>
      </c>
      <c r="L140" s="10" t="s">
        <v>9</v>
      </c>
      <c r="M140" s="11">
        <v>71.77</v>
      </c>
      <c r="N140" s="11" t="str">
        <f t="shared" si="2"/>
        <v>First Class</v>
      </c>
      <c r="O140" s="10" t="s">
        <v>5</v>
      </c>
      <c r="P140" s="10" t="str">
        <f>IF(AND(Placement_Data_Full_Class!$J140="Yes",Placement_Data_Full_Class!$H140&gt;70%),"High Priority", "Standard")</f>
        <v>High Priority</v>
      </c>
      <c r="Q140" s="12">
        <v>250000</v>
      </c>
      <c r="R140" s="10">
        <f>IF(Placement_Data_Full_Class!$K140&gt;90,Placement_Data_Full_Class!$Q140+(Placement_Data_Full_Class!$Q140*5%),Placement_Data_Full_Class!$Q140)</f>
        <v>262500</v>
      </c>
    </row>
    <row r="141" spans="1:18" x14ac:dyDescent="0.3">
      <c r="A141" s="13">
        <v>140</v>
      </c>
      <c r="B141" s="13" t="s">
        <v>29</v>
      </c>
      <c r="C141" s="14">
        <v>77</v>
      </c>
      <c r="D141" s="13" t="s">
        <v>6</v>
      </c>
      <c r="E141" s="3">
        <v>70</v>
      </c>
      <c r="F141" s="13" t="s">
        <v>6</v>
      </c>
      <c r="G141" s="13" t="s">
        <v>1</v>
      </c>
      <c r="H141" s="14">
        <v>59</v>
      </c>
      <c r="I141" s="13" t="s">
        <v>11</v>
      </c>
      <c r="J141" s="13" t="s">
        <v>8</v>
      </c>
      <c r="K141" s="14">
        <v>58</v>
      </c>
      <c r="L141" s="13" t="s">
        <v>9</v>
      </c>
      <c r="M141" s="14">
        <v>54.43</v>
      </c>
      <c r="N141" s="14" t="str">
        <f t="shared" si="2"/>
        <v>Pass</v>
      </c>
      <c r="O141" s="13" t="s">
        <v>5</v>
      </c>
      <c r="P141" s="13" t="str">
        <f>IF(AND(Placement_Data_Full_Class!$J141="Yes",Placement_Data_Full_Class!$H141&gt;70%),"High Priority", "Standard")</f>
        <v>High Priority</v>
      </c>
      <c r="Q141" s="15">
        <v>220000</v>
      </c>
      <c r="R141" s="10">
        <f>IF(Placement_Data_Full_Class!$K141&gt;90,Placement_Data_Full_Class!$Q141+(Placement_Data_Full_Class!$Q141*5%),Placement_Data_Full_Class!$Q141)</f>
        <v>220000</v>
      </c>
    </row>
    <row r="142" spans="1:18" x14ac:dyDescent="0.3">
      <c r="A142" s="10">
        <v>141</v>
      </c>
      <c r="B142" s="10" t="s">
        <v>29</v>
      </c>
      <c r="C142" s="11">
        <v>65</v>
      </c>
      <c r="D142" s="10" t="s">
        <v>6</v>
      </c>
      <c r="E142" s="2">
        <v>64.8</v>
      </c>
      <c r="F142" s="10" t="s">
        <v>0</v>
      </c>
      <c r="G142" s="10" t="s">
        <v>1</v>
      </c>
      <c r="H142" s="11">
        <v>69.5</v>
      </c>
      <c r="I142" s="10" t="s">
        <v>11</v>
      </c>
      <c r="J142" s="10" t="s">
        <v>8</v>
      </c>
      <c r="K142" s="11">
        <v>56</v>
      </c>
      <c r="L142" s="10" t="s">
        <v>9</v>
      </c>
      <c r="M142" s="11">
        <v>56.94</v>
      </c>
      <c r="N142" s="11" t="str">
        <f t="shared" si="2"/>
        <v>Pass</v>
      </c>
      <c r="O142" s="10" t="s">
        <v>5</v>
      </c>
      <c r="P142" s="10" t="str">
        <f>IF(AND(Placement_Data_Full_Class!$J142="Yes",Placement_Data_Full_Class!$H142&gt;70%),"High Priority", "Standard")</f>
        <v>High Priority</v>
      </c>
      <c r="Q142" s="12">
        <v>265000</v>
      </c>
      <c r="R142" s="10">
        <f>IF(Placement_Data_Full_Class!$K142&gt;90,Placement_Data_Full_Class!$Q142+(Placement_Data_Full_Class!$Q142*5%),Placement_Data_Full_Class!$Q142)</f>
        <v>265000</v>
      </c>
    </row>
    <row r="143" spans="1:18" x14ac:dyDescent="0.3">
      <c r="A143" s="13">
        <v>142</v>
      </c>
      <c r="B143" s="13" t="s">
        <v>29</v>
      </c>
      <c r="C143" s="14">
        <v>66</v>
      </c>
      <c r="D143" s="13" t="s">
        <v>6</v>
      </c>
      <c r="E143" s="3">
        <v>64</v>
      </c>
      <c r="F143" s="13" t="s">
        <v>6</v>
      </c>
      <c r="G143" s="13" t="s">
        <v>7</v>
      </c>
      <c r="H143" s="14">
        <v>60</v>
      </c>
      <c r="I143" s="13" t="s">
        <v>11</v>
      </c>
      <c r="J143" s="13" t="s">
        <v>3</v>
      </c>
      <c r="K143" s="14">
        <v>60</v>
      </c>
      <c r="L143" s="13" t="s">
        <v>4</v>
      </c>
      <c r="M143" s="14">
        <v>61.9</v>
      </c>
      <c r="N143" s="14" t="str">
        <f t="shared" si="2"/>
        <v>First Class</v>
      </c>
      <c r="O143" s="13" t="s">
        <v>12</v>
      </c>
      <c r="P143" s="13" t="str">
        <f>IF(AND(Placement_Data_Full_Class!$J143="Yes",Placement_Data_Full_Class!$H143&gt;70%),"High Priority", "Standard")</f>
        <v>Standard</v>
      </c>
      <c r="Q143" s="15">
        <v>0</v>
      </c>
      <c r="R143" s="10">
        <f>IF(Placement_Data_Full_Class!$K143&gt;90,Placement_Data_Full_Class!$Q143+(Placement_Data_Full_Class!$Q143*5%),Placement_Data_Full_Class!$Q143)</f>
        <v>0</v>
      </c>
    </row>
    <row r="144" spans="1:18" x14ac:dyDescent="0.3">
      <c r="A144" s="10">
        <v>143</v>
      </c>
      <c r="B144" s="10" t="s">
        <v>29</v>
      </c>
      <c r="C144" s="11">
        <v>85</v>
      </c>
      <c r="D144" s="10" t="s">
        <v>6</v>
      </c>
      <c r="E144" s="2">
        <v>60</v>
      </c>
      <c r="F144" s="10" t="s">
        <v>0</v>
      </c>
      <c r="G144" s="10" t="s">
        <v>7</v>
      </c>
      <c r="H144" s="11">
        <v>73.430000000000007</v>
      </c>
      <c r="I144" s="10" t="s">
        <v>2</v>
      </c>
      <c r="J144" s="10" t="s">
        <v>8</v>
      </c>
      <c r="K144" s="11">
        <v>60</v>
      </c>
      <c r="L144" s="10" t="s">
        <v>9</v>
      </c>
      <c r="M144" s="11">
        <v>61.29</v>
      </c>
      <c r="N144" s="11" t="str">
        <f t="shared" si="2"/>
        <v>First Class</v>
      </c>
      <c r="O144" s="10" t="s">
        <v>5</v>
      </c>
      <c r="P144" s="10" t="str">
        <f>IF(AND(Placement_Data_Full_Class!$J144="Yes",Placement_Data_Full_Class!$H144&gt;70%),"High Priority", "Standard")</f>
        <v>High Priority</v>
      </c>
      <c r="Q144" s="12">
        <v>260000</v>
      </c>
      <c r="R144" s="10">
        <f>IF(Placement_Data_Full_Class!$K144&gt;90,Placement_Data_Full_Class!$Q144+(Placement_Data_Full_Class!$Q144*5%),Placement_Data_Full_Class!$Q144)</f>
        <v>260000</v>
      </c>
    </row>
    <row r="145" spans="1:18" x14ac:dyDescent="0.3">
      <c r="A145" s="10">
        <v>144</v>
      </c>
      <c r="B145" s="10" t="s">
        <v>29</v>
      </c>
      <c r="C145" s="11">
        <v>77.67</v>
      </c>
      <c r="D145" s="10" t="s">
        <v>0</v>
      </c>
      <c r="E145" s="2">
        <v>64.89</v>
      </c>
      <c r="F145" s="10" t="s">
        <v>0</v>
      </c>
      <c r="G145" s="10" t="s">
        <v>1</v>
      </c>
      <c r="H145" s="11">
        <v>70.67</v>
      </c>
      <c r="I145" s="10" t="s">
        <v>11</v>
      </c>
      <c r="J145" s="10" t="s">
        <v>3</v>
      </c>
      <c r="K145" s="11">
        <v>89</v>
      </c>
      <c r="L145" s="10" t="s">
        <v>9</v>
      </c>
      <c r="M145" s="11">
        <v>60.39</v>
      </c>
      <c r="N145" s="11" t="str">
        <f t="shared" si="2"/>
        <v>First Class</v>
      </c>
      <c r="O145" s="13" t="s">
        <v>5</v>
      </c>
      <c r="P145" s="13" t="str">
        <f>IF(AND(Placement_Data_Full_Class!$J145="Yes",Placement_Data_Full_Class!$H145&gt;70%),"High Priority", "Standard")</f>
        <v>Standard</v>
      </c>
      <c r="Q145" s="12">
        <v>300000</v>
      </c>
      <c r="R145" s="10">
        <f>IF(Placement_Data_Full_Class!$K145&gt;90,Placement_Data_Full_Class!$Q145+(Placement_Data_Full_Class!$Q145*5%),Placement_Data_Full_Class!$Q145)</f>
        <v>300000</v>
      </c>
    </row>
    <row r="146" spans="1:18" x14ac:dyDescent="0.3">
      <c r="A146" s="10">
        <v>145</v>
      </c>
      <c r="B146" s="10" t="s">
        <v>29</v>
      </c>
      <c r="C146" s="11">
        <v>52</v>
      </c>
      <c r="D146" s="10" t="s">
        <v>0</v>
      </c>
      <c r="E146" s="2">
        <v>50</v>
      </c>
      <c r="F146" s="10" t="s">
        <v>0</v>
      </c>
      <c r="G146" s="10" t="s">
        <v>10</v>
      </c>
      <c r="H146" s="11">
        <v>61</v>
      </c>
      <c r="I146" s="10" t="s">
        <v>11</v>
      </c>
      <c r="J146" s="10" t="s">
        <v>3</v>
      </c>
      <c r="K146" s="11">
        <v>60</v>
      </c>
      <c r="L146" s="10" t="s">
        <v>9</v>
      </c>
      <c r="M146" s="11">
        <v>58.52</v>
      </c>
      <c r="N146" s="11" t="str">
        <f t="shared" si="2"/>
        <v>Pass</v>
      </c>
      <c r="O146" s="10" t="s">
        <v>12</v>
      </c>
      <c r="P146" s="10" t="str">
        <f>IF(AND(Placement_Data_Full_Class!$J146="Yes",Placement_Data_Full_Class!$H146&gt;70%),"High Priority", "Standard")</f>
        <v>Standard</v>
      </c>
      <c r="Q146" s="12">
        <v>0</v>
      </c>
      <c r="R146" s="10">
        <f>IF(Placement_Data_Full_Class!$K146&gt;90,Placement_Data_Full_Class!$Q146+(Placement_Data_Full_Class!$Q146*5%),Placement_Data_Full_Class!$Q146)</f>
        <v>0</v>
      </c>
    </row>
    <row r="147" spans="1:18" x14ac:dyDescent="0.3">
      <c r="A147" s="13">
        <v>146</v>
      </c>
      <c r="B147" s="13" t="s">
        <v>29</v>
      </c>
      <c r="C147" s="14">
        <v>89.4</v>
      </c>
      <c r="D147" s="13" t="s">
        <v>0</v>
      </c>
      <c r="E147" s="3">
        <v>65.66</v>
      </c>
      <c r="F147" s="13" t="s">
        <v>0</v>
      </c>
      <c r="G147" s="13" t="s">
        <v>7</v>
      </c>
      <c r="H147" s="14">
        <v>71.25</v>
      </c>
      <c r="I147" s="13" t="s">
        <v>2</v>
      </c>
      <c r="J147" s="13" t="s">
        <v>3</v>
      </c>
      <c r="K147" s="14">
        <v>72</v>
      </c>
      <c r="L147" s="13" t="s">
        <v>4</v>
      </c>
      <c r="M147" s="14">
        <v>63.23</v>
      </c>
      <c r="N147" s="14" t="str">
        <f t="shared" si="2"/>
        <v>First Class</v>
      </c>
      <c r="O147" s="13" t="s">
        <v>5</v>
      </c>
      <c r="P147" s="13" t="str">
        <f>IF(AND(Placement_Data_Full_Class!$J147="Yes",Placement_Data_Full_Class!$H147&gt;70%),"High Priority", "Standard")</f>
        <v>Standard</v>
      </c>
      <c r="Q147" s="15">
        <v>400000</v>
      </c>
      <c r="R147" s="10">
        <f>IF(Placement_Data_Full_Class!$K147&gt;90,Placement_Data_Full_Class!$Q147+(Placement_Data_Full_Class!$Q147*5%),Placement_Data_Full_Class!$Q147)</f>
        <v>400000</v>
      </c>
    </row>
    <row r="148" spans="1:18" x14ac:dyDescent="0.3">
      <c r="A148" s="10">
        <v>147</v>
      </c>
      <c r="B148" s="10" t="s">
        <v>29</v>
      </c>
      <c r="C148" s="11">
        <v>62</v>
      </c>
      <c r="D148" s="10" t="s">
        <v>6</v>
      </c>
      <c r="E148" s="2">
        <v>63</v>
      </c>
      <c r="F148" s="10" t="s">
        <v>0</v>
      </c>
      <c r="G148" s="10" t="s">
        <v>7</v>
      </c>
      <c r="H148" s="11">
        <v>66</v>
      </c>
      <c r="I148" s="10" t="s">
        <v>11</v>
      </c>
      <c r="J148" s="10" t="s">
        <v>3</v>
      </c>
      <c r="K148" s="11">
        <v>85</v>
      </c>
      <c r="L148" s="10" t="s">
        <v>4</v>
      </c>
      <c r="M148" s="11">
        <v>55.14</v>
      </c>
      <c r="N148" s="11" t="str">
        <f t="shared" si="2"/>
        <v>Pass</v>
      </c>
      <c r="O148" s="10" t="s">
        <v>5</v>
      </c>
      <c r="P148" s="10" t="str">
        <f>IF(AND(Placement_Data_Full_Class!$J148="Yes",Placement_Data_Full_Class!$H148&gt;70%),"High Priority", "Standard")</f>
        <v>Standard</v>
      </c>
      <c r="Q148" s="12">
        <v>233000</v>
      </c>
      <c r="R148" s="10">
        <f>IF(Placement_Data_Full_Class!$K148&gt;90,Placement_Data_Full_Class!$Q148+(Placement_Data_Full_Class!$Q148*5%),Placement_Data_Full_Class!$Q148)</f>
        <v>233000</v>
      </c>
    </row>
    <row r="149" spans="1:18" x14ac:dyDescent="0.3">
      <c r="A149" s="10">
        <v>148</v>
      </c>
      <c r="B149" s="10" t="s">
        <v>29</v>
      </c>
      <c r="C149" s="11">
        <v>70</v>
      </c>
      <c r="D149" s="10" t="s">
        <v>6</v>
      </c>
      <c r="E149" s="2">
        <v>74</v>
      </c>
      <c r="F149" s="10" t="s">
        <v>6</v>
      </c>
      <c r="G149" s="10" t="s">
        <v>1</v>
      </c>
      <c r="H149" s="11">
        <v>65</v>
      </c>
      <c r="I149" s="10" t="s">
        <v>11</v>
      </c>
      <c r="J149" s="10" t="s">
        <v>3</v>
      </c>
      <c r="K149" s="11">
        <v>83</v>
      </c>
      <c r="L149" s="10" t="s">
        <v>9</v>
      </c>
      <c r="M149" s="11">
        <v>62.28</v>
      </c>
      <c r="N149" s="11" t="str">
        <f t="shared" si="2"/>
        <v>First Class</v>
      </c>
      <c r="O149" s="13" t="s">
        <v>5</v>
      </c>
      <c r="P149" s="13" t="str">
        <f>IF(AND(Placement_Data_Full_Class!$J149="Yes",Placement_Data_Full_Class!$H149&gt;70%),"High Priority", "Standard")</f>
        <v>Standard</v>
      </c>
      <c r="Q149" s="12">
        <v>300000</v>
      </c>
      <c r="R149" s="10">
        <f>IF(Placement_Data_Full_Class!$K149&gt;90,Placement_Data_Full_Class!$Q149+(Placement_Data_Full_Class!$Q149*5%),Placement_Data_Full_Class!$Q149)</f>
        <v>300000</v>
      </c>
    </row>
    <row r="150" spans="1:18" x14ac:dyDescent="0.3">
      <c r="A150" s="10">
        <v>149</v>
      </c>
      <c r="B150" s="10" t="s">
        <v>30</v>
      </c>
      <c r="C150" s="11">
        <v>77</v>
      </c>
      <c r="D150" s="10" t="s">
        <v>6</v>
      </c>
      <c r="E150" s="2">
        <v>86</v>
      </c>
      <c r="F150" s="10" t="s">
        <v>6</v>
      </c>
      <c r="G150" s="10" t="s">
        <v>10</v>
      </c>
      <c r="H150" s="11">
        <v>56</v>
      </c>
      <c r="I150" s="10" t="s">
        <v>0</v>
      </c>
      <c r="J150" s="10" t="s">
        <v>3</v>
      </c>
      <c r="K150" s="11">
        <v>57</v>
      </c>
      <c r="L150" s="10" t="s">
        <v>9</v>
      </c>
      <c r="M150" s="11">
        <v>64.08</v>
      </c>
      <c r="N150" s="11" t="str">
        <f t="shared" si="2"/>
        <v>First Class</v>
      </c>
      <c r="O150" s="10" t="s">
        <v>5</v>
      </c>
      <c r="P150" s="10" t="str">
        <f>IF(AND(Placement_Data_Full_Class!$J150="Yes",Placement_Data_Full_Class!$H150&gt;70%),"High Priority", "Standard")</f>
        <v>Standard</v>
      </c>
      <c r="Q150" s="12">
        <v>240000</v>
      </c>
      <c r="R150" s="10">
        <f>IF(Placement_Data_Full_Class!$K150&gt;90,Placement_Data_Full_Class!$Q150+(Placement_Data_Full_Class!$Q150*5%),Placement_Data_Full_Class!$Q150)</f>
        <v>240000</v>
      </c>
    </row>
    <row r="151" spans="1:18" x14ac:dyDescent="0.3">
      <c r="A151" s="10">
        <v>150</v>
      </c>
      <c r="B151" s="10" t="s">
        <v>29</v>
      </c>
      <c r="C151" s="11">
        <v>44</v>
      </c>
      <c r="D151" s="10" t="s">
        <v>6</v>
      </c>
      <c r="E151" s="2">
        <v>58</v>
      </c>
      <c r="F151" s="10" t="s">
        <v>6</v>
      </c>
      <c r="G151" s="10" t="s">
        <v>10</v>
      </c>
      <c r="H151" s="11">
        <v>55</v>
      </c>
      <c r="I151" s="10" t="s">
        <v>11</v>
      </c>
      <c r="J151" s="10" t="s">
        <v>8</v>
      </c>
      <c r="K151" s="11">
        <v>64.25</v>
      </c>
      <c r="L151" s="10" t="s">
        <v>4</v>
      </c>
      <c r="M151" s="11">
        <v>58.54</v>
      </c>
      <c r="N151" s="11" t="str">
        <f t="shared" si="2"/>
        <v>Pass</v>
      </c>
      <c r="O151" s="13" t="s">
        <v>12</v>
      </c>
      <c r="P151" s="13" t="str">
        <f>IF(AND(Placement_Data_Full_Class!$J151="Yes",Placement_Data_Full_Class!$H151&gt;70%),"High Priority", "Standard")</f>
        <v>High Priority</v>
      </c>
      <c r="Q151" s="12">
        <v>0</v>
      </c>
      <c r="R151" s="10">
        <f>IF(Placement_Data_Full_Class!$K151&gt;90,Placement_Data_Full_Class!$Q151+(Placement_Data_Full_Class!$Q151*5%),Placement_Data_Full_Class!$Q151)</f>
        <v>0</v>
      </c>
    </row>
    <row r="152" spans="1:18" x14ac:dyDescent="0.3">
      <c r="A152" s="10">
        <v>151</v>
      </c>
      <c r="B152" s="10" t="s">
        <v>29</v>
      </c>
      <c r="C152" s="11">
        <v>71</v>
      </c>
      <c r="D152" s="10" t="s">
        <v>6</v>
      </c>
      <c r="E152" s="2">
        <v>58.66</v>
      </c>
      <c r="F152" s="10" t="s">
        <v>6</v>
      </c>
      <c r="G152" s="10" t="s">
        <v>7</v>
      </c>
      <c r="H152" s="11">
        <v>58</v>
      </c>
      <c r="I152" s="10" t="s">
        <v>2</v>
      </c>
      <c r="J152" s="10" t="s">
        <v>8</v>
      </c>
      <c r="K152" s="11">
        <v>56</v>
      </c>
      <c r="L152" s="10" t="s">
        <v>9</v>
      </c>
      <c r="M152" s="11">
        <v>61.3</v>
      </c>
      <c r="N152" s="11" t="str">
        <f t="shared" si="2"/>
        <v>First Class</v>
      </c>
      <c r="O152" s="10" t="s">
        <v>5</v>
      </c>
      <c r="P152" s="10" t="str">
        <f>IF(AND(Placement_Data_Full_Class!$J152="Yes",Placement_Data_Full_Class!$H152&gt;70%),"High Priority", "Standard")</f>
        <v>High Priority</v>
      </c>
      <c r="Q152" s="12">
        <v>690000</v>
      </c>
      <c r="R152" s="10">
        <f>IF(Placement_Data_Full_Class!$K152&gt;90,Placement_Data_Full_Class!$Q152+(Placement_Data_Full_Class!$Q152*5%),Placement_Data_Full_Class!$Q152)</f>
        <v>690000</v>
      </c>
    </row>
    <row r="153" spans="1:18" x14ac:dyDescent="0.3">
      <c r="A153" s="10">
        <v>152</v>
      </c>
      <c r="B153" s="10" t="s">
        <v>29</v>
      </c>
      <c r="C153" s="11">
        <v>65</v>
      </c>
      <c r="D153" s="10" t="s">
        <v>6</v>
      </c>
      <c r="E153" s="2">
        <v>65</v>
      </c>
      <c r="F153" s="10" t="s">
        <v>6</v>
      </c>
      <c r="G153" s="10" t="s">
        <v>1</v>
      </c>
      <c r="H153" s="11">
        <v>75</v>
      </c>
      <c r="I153" s="10" t="s">
        <v>11</v>
      </c>
      <c r="J153" s="10" t="s">
        <v>3</v>
      </c>
      <c r="K153" s="11">
        <v>83</v>
      </c>
      <c r="L153" s="10" t="s">
        <v>9</v>
      </c>
      <c r="M153" s="11">
        <v>58.87</v>
      </c>
      <c r="N153" s="11" t="str">
        <f t="shared" si="2"/>
        <v>Pass</v>
      </c>
      <c r="O153" s="13" t="s">
        <v>5</v>
      </c>
      <c r="P153" s="13" t="str">
        <f>IF(AND(Placement_Data_Full_Class!$J153="Yes",Placement_Data_Full_Class!$H153&gt;70%),"High Priority", "Standard")</f>
        <v>Standard</v>
      </c>
      <c r="Q153" s="12">
        <v>270000</v>
      </c>
      <c r="R153" s="10">
        <f>IF(Placement_Data_Full_Class!$K153&gt;90,Placement_Data_Full_Class!$Q153+(Placement_Data_Full_Class!$Q153*5%),Placement_Data_Full_Class!$Q153)</f>
        <v>270000</v>
      </c>
    </row>
    <row r="154" spans="1:18" x14ac:dyDescent="0.3">
      <c r="A154" s="10">
        <v>153</v>
      </c>
      <c r="B154" s="10" t="s">
        <v>30</v>
      </c>
      <c r="C154" s="11">
        <v>75.400000000000006</v>
      </c>
      <c r="D154" s="10" t="s">
        <v>0</v>
      </c>
      <c r="E154" s="2">
        <v>60.5</v>
      </c>
      <c r="F154" s="10" t="s">
        <v>6</v>
      </c>
      <c r="G154" s="10" t="s">
        <v>7</v>
      </c>
      <c r="H154" s="11">
        <v>84</v>
      </c>
      <c r="I154" s="10" t="s">
        <v>2</v>
      </c>
      <c r="J154" s="10" t="s">
        <v>3</v>
      </c>
      <c r="K154" s="11">
        <v>98</v>
      </c>
      <c r="L154" s="10" t="s">
        <v>9</v>
      </c>
      <c r="M154" s="11">
        <v>65.25</v>
      </c>
      <c r="N154" s="11" t="str">
        <f t="shared" si="2"/>
        <v>First Class</v>
      </c>
      <c r="O154" s="10" t="s">
        <v>5</v>
      </c>
      <c r="P154" s="10" t="str">
        <f>IF(AND(Placement_Data_Full_Class!$J154="Yes",Placement_Data_Full_Class!$H154&gt;70%),"High Priority", "Standard")</f>
        <v>Standard</v>
      </c>
      <c r="Q154" s="12">
        <v>240000</v>
      </c>
      <c r="R154" s="10">
        <f>IF(Placement_Data_Full_Class!$K154&gt;90,Placement_Data_Full_Class!$Q154+(Placement_Data_Full_Class!$Q154*5%),Placement_Data_Full_Class!$Q154)</f>
        <v>252000</v>
      </c>
    </row>
    <row r="155" spans="1:18" x14ac:dyDescent="0.3">
      <c r="A155" s="10">
        <v>154</v>
      </c>
      <c r="B155" s="10" t="s">
        <v>29</v>
      </c>
      <c r="C155" s="11">
        <v>49</v>
      </c>
      <c r="D155" s="10" t="s">
        <v>0</v>
      </c>
      <c r="E155" s="2">
        <v>59</v>
      </c>
      <c r="F155" s="10" t="s">
        <v>0</v>
      </c>
      <c r="G155" s="10" t="s">
        <v>7</v>
      </c>
      <c r="H155" s="11">
        <v>65</v>
      </c>
      <c r="I155" s="10" t="s">
        <v>2</v>
      </c>
      <c r="J155" s="10" t="s">
        <v>8</v>
      </c>
      <c r="K155" s="11">
        <v>86</v>
      </c>
      <c r="L155" s="10" t="s">
        <v>9</v>
      </c>
      <c r="M155" s="11">
        <v>62.48</v>
      </c>
      <c r="N155" s="11" t="str">
        <f t="shared" si="2"/>
        <v>First Class</v>
      </c>
      <c r="O155" s="13" t="s">
        <v>5</v>
      </c>
      <c r="P155" s="13" t="str">
        <f>IF(AND(Placement_Data_Full_Class!$J155="Yes",Placement_Data_Full_Class!$H155&gt;70%),"High Priority", "Standard")</f>
        <v>High Priority</v>
      </c>
      <c r="Q155" s="12">
        <v>340000</v>
      </c>
      <c r="R155" s="10">
        <f>IF(Placement_Data_Full_Class!$K155&gt;90,Placement_Data_Full_Class!$Q155+(Placement_Data_Full_Class!$Q155*5%),Placement_Data_Full_Class!$Q155)</f>
        <v>340000</v>
      </c>
    </row>
    <row r="156" spans="1:18" x14ac:dyDescent="0.3">
      <c r="A156" s="10">
        <v>155</v>
      </c>
      <c r="B156" s="10" t="s">
        <v>29</v>
      </c>
      <c r="C156" s="11">
        <v>53</v>
      </c>
      <c r="D156" s="10" t="s">
        <v>6</v>
      </c>
      <c r="E156" s="2">
        <v>63</v>
      </c>
      <c r="F156" s="10" t="s">
        <v>0</v>
      </c>
      <c r="G156" s="10" t="s">
        <v>7</v>
      </c>
      <c r="H156" s="11">
        <v>60</v>
      </c>
      <c r="I156" s="10" t="s">
        <v>11</v>
      </c>
      <c r="J156" s="10" t="s">
        <v>8</v>
      </c>
      <c r="K156" s="11">
        <v>70</v>
      </c>
      <c r="L156" s="10" t="s">
        <v>9</v>
      </c>
      <c r="M156" s="11">
        <v>53.2</v>
      </c>
      <c r="N156" s="11" t="str">
        <f t="shared" si="2"/>
        <v>Pass</v>
      </c>
      <c r="O156" s="10" t="s">
        <v>5</v>
      </c>
      <c r="P156" s="10" t="str">
        <f>IF(AND(Placement_Data_Full_Class!$J156="Yes",Placement_Data_Full_Class!$H156&gt;70%),"High Priority", "Standard")</f>
        <v>High Priority</v>
      </c>
      <c r="Q156" s="12">
        <v>250000</v>
      </c>
      <c r="R156" s="10">
        <f>IF(Placement_Data_Full_Class!$K156&gt;90,Placement_Data_Full_Class!$Q156+(Placement_Data_Full_Class!$Q156*5%),Placement_Data_Full_Class!$Q156)</f>
        <v>250000</v>
      </c>
    </row>
    <row r="157" spans="1:18" x14ac:dyDescent="0.3">
      <c r="A157" s="13">
        <v>156</v>
      </c>
      <c r="B157" s="13" t="s">
        <v>29</v>
      </c>
      <c r="C157" s="14">
        <v>51.57</v>
      </c>
      <c r="D157" s="13" t="s">
        <v>0</v>
      </c>
      <c r="E157" s="3">
        <v>74.66</v>
      </c>
      <c r="F157" s="13" t="s">
        <v>0</v>
      </c>
      <c r="G157" s="13" t="s">
        <v>1</v>
      </c>
      <c r="H157" s="14">
        <v>59.9</v>
      </c>
      <c r="I157" s="13" t="s">
        <v>11</v>
      </c>
      <c r="J157" s="13" t="s">
        <v>8</v>
      </c>
      <c r="K157" s="14">
        <v>56.15</v>
      </c>
      <c r="L157" s="13" t="s">
        <v>4</v>
      </c>
      <c r="M157" s="14">
        <v>65.989999999999995</v>
      </c>
      <c r="N157" s="14" t="str">
        <f t="shared" si="2"/>
        <v>First Class</v>
      </c>
      <c r="O157" s="13" t="s">
        <v>12</v>
      </c>
      <c r="P157" s="13" t="str">
        <f>IF(AND(Placement_Data_Full_Class!$J157="Yes",Placement_Data_Full_Class!$H157&gt;70%),"High Priority", "Standard")</f>
        <v>High Priority</v>
      </c>
      <c r="Q157" s="15">
        <v>0</v>
      </c>
      <c r="R157" s="10">
        <f>IF(Placement_Data_Full_Class!$K157&gt;90,Placement_Data_Full_Class!$Q157+(Placement_Data_Full_Class!$Q157*5%),Placement_Data_Full_Class!$Q157)</f>
        <v>0</v>
      </c>
    </row>
    <row r="158" spans="1:18" x14ac:dyDescent="0.3">
      <c r="A158" s="10">
        <v>157</v>
      </c>
      <c r="B158" s="10" t="s">
        <v>29</v>
      </c>
      <c r="C158" s="11">
        <v>84.2</v>
      </c>
      <c r="D158" s="10" t="s">
        <v>6</v>
      </c>
      <c r="E158" s="2">
        <v>69.400000000000006</v>
      </c>
      <c r="F158" s="10" t="s">
        <v>6</v>
      </c>
      <c r="G158" s="10" t="s">
        <v>7</v>
      </c>
      <c r="H158" s="11">
        <v>65</v>
      </c>
      <c r="I158" s="10" t="s">
        <v>2</v>
      </c>
      <c r="J158" s="10" t="s">
        <v>8</v>
      </c>
      <c r="K158" s="11">
        <v>80</v>
      </c>
      <c r="L158" s="10" t="s">
        <v>4</v>
      </c>
      <c r="M158" s="11">
        <v>52.72</v>
      </c>
      <c r="N158" s="11" t="str">
        <f t="shared" si="2"/>
        <v>Pass</v>
      </c>
      <c r="O158" s="10" t="s">
        <v>5</v>
      </c>
      <c r="P158" s="10" t="str">
        <f>IF(AND(Placement_Data_Full_Class!$J158="Yes",Placement_Data_Full_Class!$H158&gt;70%),"High Priority", "Standard")</f>
        <v>High Priority</v>
      </c>
      <c r="Q158" s="12">
        <v>255000</v>
      </c>
      <c r="R158" s="10">
        <f>IF(Placement_Data_Full_Class!$K158&gt;90,Placement_Data_Full_Class!$Q158+(Placement_Data_Full_Class!$Q158*5%),Placement_Data_Full_Class!$Q158)</f>
        <v>255000</v>
      </c>
    </row>
    <row r="159" spans="1:18" x14ac:dyDescent="0.3">
      <c r="A159" s="13">
        <v>158</v>
      </c>
      <c r="B159" s="13" t="s">
        <v>29</v>
      </c>
      <c r="C159" s="14">
        <v>66.5</v>
      </c>
      <c r="D159" s="13" t="s">
        <v>6</v>
      </c>
      <c r="E159" s="3">
        <v>62.5</v>
      </c>
      <c r="F159" s="13" t="s">
        <v>6</v>
      </c>
      <c r="G159" s="13" t="s">
        <v>1</v>
      </c>
      <c r="H159" s="14">
        <v>60.9</v>
      </c>
      <c r="I159" s="13" t="s">
        <v>11</v>
      </c>
      <c r="J159" s="13" t="s">
        <v>3</v>
      </c>
      <c r="K159" s="14">
        <v>93.4</v>
      </c>
      <c r="L159" s="13" t="s">
        <v>9</v>
      </c>
      <c r="M159" s="14">
        <v>55.03</v>
      </c>
      <c r="N159" s="14" t="str">
        <f t="shared" si="2"/>
        <v>Pass</v>
      </c>
      <c r="O159" s="13" t="s">
        <v>5</v>
      </c>
      <c r="P159" s="13" t="str">
        <f>IF(AND(Placement_Data_Full_Class!$J159="Yes",Placement_Data_Full_Class!$H159&gt;70%),"High Priority", "Standard")</f>
        <v>Standard</v>
      </c>
      <c r="Q159" s="15">
        <v>300000</v>
      </c>
      <c r="R159" s="10">
        <f>IF(Placement_Data_Full_Class!$K159&gt;90,Placement_Data_Full_Class!$Q159+(Placement_Data_Full_Class!$Q159*5%),Placement_Data_Full_Class!$Q159)</f>
        <v>315000</v>
      </c>
    </row>
    <row r="160" spans="1:18" x14ac:dyDescent="0.3">
      <c r="A160" s="10">
        <v>159</v>
      </c>
      <c r="B160" s="10" t="s">
        <v>29</v>
      </c>
      <c r="C160" s="11">
        <v>67</v>
      </c>
      <c r="D160" s="10" t="s">
        <v>0</v>
      </c>
      <c r="E160" s="2">
        <v>63</v>
      </c>
      <c r="F160" s="10" t="s">
        <v>0</v>
      </c>
      <c r="G160" s="10" t="s">
        <v>7</v>
      </c>
      <c r="H160" s="11">
        <v>64</v>
      </c>
      <c r="I160" s="10" t="s">
        <v>2</v>
      </c>
      <c r="J160" s="10" t="s">
        <v>3</v>
      </c>
      <c r="K160" s="11">
        <v>60</v>
      </c>
      <c r="L160" s="10" t="s">
        <v>9</v>
      </c>
      <c r="M160" s="11">
        <v>61.87</v>
      </c>
      <c r="N160" s="11" t="str">
        <f t="shared" si="2"/>
        <v>First Class</v>
      </c>
      <c r="O160" s="10" t="s">
        <v>12</v>
      </c>
      <c r="P160" s="10" t="str">
        <f>IF(AND(Placement_Data_Full_Class!$J160="Yes",Placement_Data_Full_Class!$H160&gt;70%),"High Priority", "Standard")</f>
        <v>Standard</v>
      </c>
      <c r="Q160" s="12">
        <v>0</v>
      </c>
      <c r="R160" s="10">
        <f>IF(Placement_Data_Full_Class!$K160&gt;90,Placement_Data_Full_Class!$Q160+(Placement_Data_Full_Class!$Q160*5%),Placement_Data_Full_Class!$Q160)</f>
        <v>0</v>
      </c>
    </row>
    <row r="161" spans="1:18" x14ac:dyDescent="0.3">
      <c r="A161" s="13">
        <v>160</v>
      </c>
      <c r="B161" s="13" t="s">
        <v>29</v>
      </c>
      <c r="C161" s="14">
        <v>52</v>
      </c>
      <c r="D161" s="13" t="s">
        <v>6</v>
      </c>
      <c r="E161" s="3">
        <v>49</v>
      </c>
      <c r="F161" s="13" t="s">
        <v>0</v>
      </c>
      <c r="G161" s="13" t="s">
        <v>1</v>
      </c>
      <c r="H161" s="14">
        <v>58</v>
      </c>
      <c r="I161" s="13" t="s">
        <v>11</v>
      </c>
      <c r="J161" s="13" t="s">
        <v>3</v>
      </c>
      <c r="K161" s="14">
        <v>62</v>
      </c>
      <c r="L161" s="13" t="s">
        <v>4</v>
      </c>
      <c r="M161" s="14">
        <v>60.59</v>
      </c>
      <c r="N161" s="14" t="str">
        <f t="shared" si="2"/>
        <v>First Class</v>
      </c>
      <c r="O161" s="13" t="s">
        <v>12</v>
      </c>
      <c r="P161" s="13" t="str">
        <f>IF(AND(Placement_Data_Full_Class!$J161="Yes",Placement_Data_Full_Class!$H161&gt;70%),"High Priority", "Standard")</f>
        <v>Standard</v>
      </c>
      <c r="Q161" s="15">
        <v>0</v>
      </c>
      <c r="R161" s="10">
        <f>IF(Placement_Data_Full_Class!$K161&gt;90,Placement_Data_Full_Class!$Q161+(Placement_Data_Full_Class!$Q161*5%),Placement_Data_Full_Class!$Q161)</f>
        <v>0</v>
      </c>
    </row>
    <row r="162" spans="1:18" x14ac:dyDescent="0.3">
      <c r="A162" s="10">
        <v>161</v>
      </c>
      <c r="B162" s="10" t="s">
        <v>29</v>
      </c>
      <c r="C162" s="11">
        <v>87</v>
      </c>
      <c r="D162" s="10" t="s">
        <v>6</v>
      </c>
      <c r="E162" s="2">
        <v>74</v>
      </c>
      <c r="F162" s="10" t="s">
        <v>6</v>
      </c>
      <c r="G162" s="10" t="s">
        <v>7</v>
      </c>
      <c r="H162" s="11">
        <v>65</v>
      </c>
      <c r="I162" s="10" t="s">
        <v>2</v>
      </c>
      <c r="J162" s="10" t="s">
        <v>8</v>
      </c>
      <c r="K162" s="11">
        <v>75</v>
      </c>
      <c r="L162" s="10" t="s">
        <v>4</v>
      </c>
      <c r="M162" s="11">
        <v>72.290000000000006</v>
      </c>
      <c r="N162" s="11" t="str">
        <f t="shared" si="2"/>
        <v>First Class</v>
      </c>
      <c r="O162" s="10" t="s">
        <v>5</v>
      </c>
      <c r="P162" s="10" t="str">
        <f>IF(AND(Placement_Data_Full_Class!$J162="Yes",Placement_Data_Full_Class!$H162&gt;70%),"High Priority", "Standard")</f>
        <v>High Priority</v>
      </c>
      <c r="Q162" s="12">
        <v>300000</v>
      </c>
      <c r="R162" s="10">
        <f>IF(Placement_Data_Full_Class!$K162&gt;90,Placement_Data_Full_Class!$Q162+(Placement_Data_Full_Class!$Q162*5%),Placement_Data_Full_Class!$Q162)</f>
        <v>300000</v>
      </c>
    </row>
    <row r="163" spans="1:18" x14ac:dyDescent="0.3">
      <c r="A163" s="10">
        <v>162</v>
      </c>
      <c r="B163" s="10" t="s">
        <v>29</v>
      </c>
      <c r="C163" s="11">
        <v>55.6</v>
      </c>
      <c r="D163" s="10" t="s">
        <v>0</v>
      </c>
      <c r="E163" s="2">
        <v>51</v>
      </c>
      <c r="F163" s="10" t="s">
        <v>0</v>
      </c>
      <c r="G163" s="10" t="s">
        <v>1</v>
      </c>
      <c r="H163" s="11">
        <v>57.5</v>
      </c>
      <c r="I163" s="10" t="s">
        <v>11</v>
      </c>
      <c r="J163" s="10" t="s">
        <v>3</v>
      </c>
      <c r="K163" s="11">
        <v>57.63</v>
      </c>
      <c r="L163" s="10" t="s">
        <v>4</v>
      </c>
      <c r="M163" s="11">
        <v>62.72</v>
      </c>
      <c r="N163" s="11" t="str">
        <f t="shared" si="2"/>
        <v>First Class</v>
      </c>
      <c r="O163" s="13" t="s">
        <v>12</v>
      </c>
      <c r="P163" s="13" t="str">
        <f>IF(AND(Placement_Data_Full_Class!$J163="Yes",Placement_Data_Full_Class!$H163&gt;70%),"High Priority", "Standard")</f>
        <v>Standard</v>
      </c>
      <c r="Q163" s="12">
        <v>0</v>
      </c>
      <c r="R163" s="10">
        <f>IF(Placement_Data_Full_Class!$K163&gt;90,Placement_Data_Full_Class!$Q163+(Placement_Data_Full_Class!$Q163*5%),Placement_Data_Full_Class!$Q163)</f>
        <v>0</v>
      </c>
    </row>
    <row r="164" spans="1:18" x14ac:dyDescent="0.3">
      <c r="A164" s="10">
        <v>163</v>
      </c>
      <c r="B164" s="10" t="s">
        <v>29</v>
      </c>
      <c r="C164" s="11">
        <v>74.2</v>
      </c>
      <c r="D164" s="10" t="s">
        <v>6</v>
      </c>
      <c r="E164" s="2">
        <v>87.6</v>
      </c>
      <c r="F164" s="10" t="s">
        <v>0</v>
      </c>
      <c r="G164" s="10" t="s">
        <v>1</v>
      </c>
      <c r="H164" s="11">
        <v>77.25</v>
      </c>
      <c r="I164" s="10" t="s">
        <v>11</v>
      </c>
      <c r="J164" s="10" t="s">
        <v>8</v>
      </c>
      <c r="K164" s="11">
        <v>75.2</v>
      </c>
      <c r="L164" s="10" t="s">
        <v>9</v>
      </c>
      <c r="M164" s="11">
        <v>66.06</v>
      </c>
      <c r="N164" s="11" t="str">
        <f t="shared" si="2"/>
        <v>First Class</v>
      </c>
      <c r="O164" s="10" t="s">
        <v>5</v>
      </c>
      <c r="P164" s="10" t="str">
        <f>IF(AND(Placement_Data_Full_Class!$J164="Yes",Placement_Data_Full_Class!$H164&gt;70%),"High Priority", "Standard")</f>
        <v>High Priority</v>
      </c>
      <c r="Q164" s="12">
        <v>285000</v>
      </c>
      <c r="R164" s="10">
        <f>IF(Placement_Data_Full_Class!$K164&gt;90,Placement_Data_Full_Class!$Q164+(Placement_Data_Full_Class!$Q164*5%),Placement_Data_Full_Class!$Q164)</f>
        <v>285000</v>
      </c>
    </row>
    <row r="165" spans="1:18" x14ac:dyDescent="0.3">
      <c r="A165" s="10">
        <v>164</v>
      </c>
      <c r="B165" s="10" t="s">
        <v>29</v>
      </c>
      <c r="C165" s="11">
        <v>63</v>
      </c>
      <c r="D165" s="10" t="s">
        <v>0</v>
      </c>
      <c r="E165" s="2">
        <v>67</v>
      </c>
      <c r="F165" s="10" t="s">
        <v>0</v>
      </c>
      <c r="G165" s="10" t="s">
        <v>7</v>
      </c>
      <c r="H165" s="11">
        <v>64</v>
      </c>
      <c r="I165" s="10" t="s">
        <v>2</v>
      </c>
      <c r="J165" s="10" t="s">
        <v>3</v>
      </c>
      <c r="K165" s="11">
        <v>75</v>
      </c>
      <c r="L165" s="10" t="s">
        <v>9</v>
      </c>
      <c r="M165" s="11">
        <v>66.459999999999994</v>
      </c>
      <c r="N165" s="11" t="str">
        <f t="shared" si="2"/>
        <v>First Class</v>
      </c>
      <c r="O165" s="13" t="s">
        <v>5</v>
      </c>
      <c r="P165" s="13" t="str">
        <f>IF(AND(Placement_Data_Full_Class!$J165="Yes",Placement_Data_Full_Class!$H165&gt;70%),"High Priority", "Standard")</f>
        <v>Standard</v>
      </c>
      <c r="Q165" s="12">
        <v>500000</v>
      </c>
      <c r="R165" s="10">
        <f>IF(Placement_Data_Full_Class!$K165&gt;90,Placement_Data_Full_Class!$Q165+(Placement_Data_Full_Class!$Q165*5%),Placement_Data_Full_Class!$Q165)</f>
        <v>500000</v>
      </c>
    </row>
    <row r="166" spans="1:18" x14ac:dyDescent="0.3">
      <c r="A166" s="10">
        <v>165</v>
      </c>
      <c r="B166" s="10" t="s">
        <v>30</v>
      </c>
      <c r="C166" s="11">
        <v>67.16</v>
      </c>
      <c r="D166" s="10" t="s">
        <v>6</v>
      </c>
      <c r="E166" s="2">
        <v>72.5</v>
      </c>
      <c r="F166" s="10" t="s">
        <v>6</v>
      </c>
      <c r="G166" s="10" t="s">
        <v>1</v>
      </c>
      <c r="H166" s="11">
        <v>63.35</v>
      </c>
      <c r="I166" s="10" t="s">
        <v>11</v>
      </c>
      <c r="J166" s="10" t="s">
        <v>3</v>
      </c>
      <c r="K166" s="11">
        <v>53.04</v>
      </c>
      <c r="L166" s="10" t="s">
        <v>9</v>
      </c>
      <c r="M166" s="11">
        <v>65.52</v>
      </c>
      <c r="N166" s="11" t="str">
        <f t="shared" si="2"/>
        <v>First Class</v>
      </c>
      <c r="O166" s="10" t="s">
        <v>5</v>
      </c>
      <c r="P166" s="10" t="str">
        <f>IF(AND(Placement_Data_Full_Class!$J166="Yes",Placement_Data_Full_Class!$H166&gt;70%),"High Priority", "Standard")</f>
        <v>Standard</v>
      </c>
      <c r="Q166" s="12">
        <v>250000</v>
      </c>
      <c r="R166" s="10">
        <f>IF(Placement_Data_Full_Class!$K166&gt;90,Placement_Data_Full_Class!$Q166+(Placement_Data_Full_Class!$Q166*5%),Placement_Data_Full_Class!$Q166)</f>
        <v>250000</v>
      </c>
    </row>
    <row r="167" spans="1:18" x14ac:dyDescent="0.3">
      <c r="A167" s="13">
        <v>166</v>
      </c>
      <c r="B167" s="13" t="s">
        <v>30</v>
      </c>
      <c r="C167" s="14">
        <v>63.3</v>
      </c>
      <c r="D167" s="13" t="s">
        <v>6</v>
      </c>
      <c r="E167" s="3">
        <v>78.33</v>
      </c>
      <c r="F167" s="13" t="s">
        <v>0</v>
      </c>
      <c r="G167" s="13" t="s">
        <v>1</v>
      </c>
      <c r="H167" s="14">
        <v>74</v>
      </c>
      <c r="I167" s="13" t="s">
        <v>11</v>
      </c>
      <c r="J167" s="13" t="s">
        <v>3</v>
      </c>
      <c r="K167" s="14">
        <v>80</v>
      </c>
      <c r="L167" s="13" t="s">
        <v>9</v>
      </c>
      <c r="M167" s="14">
        <v>74.56</v>
      </c>
      <c r="N167" s="14" t="str">
        <f t="shared" si="2"/>
        <v>First Class</v>
      </c>
      <c r="O167" s="13" t="s">
        <v>12</v>
      </c>
      <c r="P167" s="13" t="str">
        <f>IF(AND(Placement_Data_Full_Class!$J167="Yes",Placement_Data_Full_Class!$H167&gt;70%),"High Priority", "Standard")</f>
        <v>Standard</v>
      </c>
      <c r="Q167" s="15">
        <v>0</v>
      </c>
      <c r="R167" s="10">
        <f>IF(Placement_Data_Full_Class!$K167&gt;90,Placement_Data_Full_Class!$Q167+(Placement_Data_Full_Class!$Q167*5%),Placement_Data_Full_Class!$Q167)</f>
        <v>0</v>
      </c>
    </row>
    <row r="168" spans="1:18" x14ac:dyDescent="0.3">
      <c r="A168" s="10">
        <v>167</v>
      </c>
      <c r="B168" s="10" t="s">
        <v>29</v>
      </c>
      <c r="C168" s="11">
        <v>62</v>
      </c>
      <c r="D168" s="10" t="s">
        <v>0</v>
      </c>
      <c r="E168" s="2">
        <v>62</v>
      </c>
      <c r="F168" s="10" t="s">
        <v>0</v>
      </c>
      <c r="G168" s="10" t="s">
        <v>1</v>
      </c>
      <c r="H168" s="11">
        <v>60</v>
      </c>
      <c r="I168" s="10" t="s">
        <v>11</v>
      </c>
      <c r="J168" s="10" t="s">
        <v>8</v>
      </c>
      <c r="K168" s="11">
        <v>63</v>
      </c>
      <c r="L168" s="10" t="s">
        <v>4</v>
      </c>
      <c r="M168" s="11">
        <v>52.38</v>
      </c>
      <c r="N168" s="11" t="str">
        <f t="shared" si="2"/>
        <v>Pass</v>
      </c>
      <c r="O168" s="10" t="s">
        <v>5</v>
      </c>
      <c r="P168" s="10" t="str">
        <f>IF(AND(Placement_Data_Full_Class!$J168="Yes",Placement_Data_Full_Class!$H168&gt;70%),"High Priority", "Standard")</f>
        <v>High Priority</v>
      </c>
      <c r="Q168" s="12">
        <v>240000</v>
      </c>
      <c r="R168" s="10">
        <f>IF(Placement_Data_Full_Class!$K168&gt;90,Placement_Data_Full_Class!$Q168+(Placement_Data_Full_Class!$Q168*5%),Placement_Data_Full_Class!$Q168)</f>
        <v>240000</v>
      </c>
    </row>
    <row r="169" spans="1:18" x14ac:dyDescent="0.3">
      <c r="A169" s="13">
        <v>168</v>
      </c>
      <c r="B169" s="13" t="s">
        <v>29</v>
      </c>
      <c r="C169" s="14">
        <v>67.900000000000006</v>
      </c>
      <c r="D169" s="13" t="s">
        <v>0</v>
      </c>
      <c r="E169" s="3">
        <v>62</v>
      </c>
      <c r="F169" s="13" t="s">
        <v>0</v>
      </c>
      <c r="G169" s="13" t="s">
        <v>7</v>
      </c>
      <c r="H169" s="14">
        <v>67</v>
      </c>
      <c r="I169" s="13" t="s">
        <v>2</v>
      </c>
      <c r="J169" s="13" t="s">
        <v>8</v>
      </c>
      <c r="K169" s="14">
        <v>58.1</v>
      </c>
      <c r="L169" s="13" t="s">
        <v>9</v>
      </c>
      <c r="M169" s="14">
        <v>75.709999999999994</v>
      </c>
      <c r="N169" s="14" t="str">
        <f t="shared" si="2"/>
        <v>Distinction</v>
      </c>
      <c r="O169" s="13" t="s">
        <v>12</v>
      </c>
      <c r="P169" s="13" t="str">
        <f>IF(AND(Placement_Data_Full_Class!$J169="Yes",Placement_Data_Full_Class!$H169&gt;70%),"High Priority", "Standard")</f>
        <v>High Priority</v>
      </c>
      <c r="Q169" s="15">
        <v>0</v>
      </c>
      <c r="R169" s="10">
        <f>IF(Placement_Data_Full_Class!$K169&gt;90,Placement_Data_Full_Class!$Q169+(Placement_Data_Full_Class!$Q169*5%),Placement_Data_Full_Class!$Q169)</f>
        <v>0</v>
      </c>
    </row>
    <row r="170" spans="1:18" x14ac:dyDescent="0.3">
      <c r="A170" s="10">
        <v>169</v>
      </c>
      <c r="B170" s="10" t="s">
        <v>30</v>
      </c>
      <c r="C170" s="11">
        <v>48</v>
      </c>
      <c r="D170" s="10" t="s">
        <v>6</v>
      </c>
      <c r="E170" s="2">
        <v>51</v>
      </c>
      <c r="F170" s="10" t="s">
        <v>6</v>
      </c>
      <c r="G170" s="10" t="s">
        <v>1</v>
      </c>
      <c r="H170" s="11">
        <v>58</v>
      </c>
      <c r="I170" s="10" t="s">
        <v>11</v>
      </c>
      <c r="J170" s="10" t="s">
        <v>8</v>
      </c>
      <c r="K170" s="11">
        <v>60</v>
      </c>
      <c r="L170" s="10" t="s">
        <v>4</v>
      </c>
      <c r="M170" s="11">
        <v>58.79</v>
      </c>
      <c r="N170" s="11" t="str">
        <f t="shared" si="2"/>
        <v>Pass</v>
      </c>
      <c r="O170" s="10" t="s">
        <v>12</v>
      </c>
      <c r="P170" s="10" t="str">
        <f>IF(AND(Placement_Data_Full_Class!$J170="Yes",Placement_Data_Full_Class!$H170&gt;70%),"High Priority", "Standard")</f>
        <v>High Priority</v>
      </c>
      <c r="Q170" s="12">
        <v>0</v>
      </c>
      <c r="R170" s="10">
        <f>IF(Placement_Data_Full_Class!$K170&gt;90,Placement_Data_Full_Class!$Q170+(Placement_Data_Full_Class!$Q170*5%),Placement_Data_Full_Class!$Q170)</f>
        <v>0</v>
      </c>
    </row>
    <row r="171" spans="1:18" x14ac:dyDescent="0.3">
      <c r="A171" s="10">
        <v>170</v>
      </c>
      <c r="B171" s="10" t="s">
        <v>29</v>
      </c>
      <c r="C171" s="11">
        <v>59.96</v>
      </c>
      <c r="D171" s="10" t="s">
        <v>0</v>
      </c>
      <c r="E171" s="2">
        <v>42.16</v>
      </c>
      <c r="F171" s="10" t="s">
        <v>0</v>
      </c>
      <c r="G171" s="10" t="s">
        <v>7</v>
      </c>
      <c r="H171" s="11">
        <v>61.26</v>
      </c>
      <c r="I171" s="10" t="s">
        <v>2</v>
      </c>
      <c r="J171" s="10" t="s">
        <v>3</v>
      </c>
      <c r="K171" s="11">
        <v>54.48</v>
      </c>
      <c r="L171" s="10" t="s">
        <v>4</v>
      </c>
      <c r="M171" s="11">
        <v>65.48</v>
      </c>
      <c r="N171" s="11" t="str">
        <f t="shared" si="2"/>
        <v>First Class</v>
      </c>
      <c r="O171" s="13" t="s">
        <v>12</v>
      </c>
      <c r="P171" s="13" t="str">
        <f>IF(AND(Placement_Data_Full_Class!$J171="Yes",Placement_Data_Full_Class!$H171&gt;70%),"High Priority", "Standard")</f>
        <v>Standard</v>
      </c>
      <c r="Q171" s="12">
        <v>0</v>
      </c>
      <c r="R171" s="10">
        <f>IF(Placement_Data_Full_Class!$K171&gt;90,Placement_Data_Full_Class!$Q171+(Placement_Data_Full_Class!$Q171*5%),Placement_Data_Full_Class!$Q171)</f>
        <v>0</v>
      </c>
    </row>
    <row r="172" spans="1:18" x14ac:dyDescent="0.3">
      <c r="A172" s="10">
        <v>171</v>
      </c>
      <c r="B172" s="10" t="s">
        <v>30</v>
      </c>
      <c r="C172" s="11">
        <v>63.4</v>
      </c>
      <c r="D172" s="10" t="s">
        <v>0</v>
      </c>
      <c r="E172" s="2">
        <v>67.2</v>
      </c>
      <c r="F172" s="10" t="s">
        <v>0</v>
      </c>
      <c r="G172" s="10" t="s">
        <v>1</v>
      </c>
      <c r="H172" s="11">
        <v>60</v>
      </c>
      <c r="I172" s="10" t="s">
        <v>11</v>
      </c>
      <c r="J172" s="10" t="s">
        <v>3</v>
      </c>
      <c r="K172" s="11">
        <v>58.06</v>
      </c>
      <c r="L172" s="10" t="s">
        <v>4</v>
      </c>
      <c r="M172" s="11">
        <v>69.28</v>
      </c>
      <c r="N172" s="11" t="str">
        <f t="shared" si="2"/>
        <v>First Class</v>
      </c>
      <c r="O172" s="10" t="s">
        <v>12</v>
      </c>
      <c r="P172" s="10" t="str">
        <f>IF(AND(Placement_Data_Full_Class!$J172="Yes",Placement_Data_Full_Class!$H172&gt;70%),"High Priority", "Standard")</f>
        <v>Standard</v>
      </c>
      <c r="Q172" s="12">
        <v>0</v>
      </c>
      <c r="R172" s="10">
        <f>IF(Placement_Data_Full_Class!$K172&gt;90,Placement_Data_Full_Class!$Q172+(Placement_Data_Full_Class!$Q172*5%),Placement_Data_Full_Class!$Q172)</f>
        <v>0</v>
      </c>
    </row>
    <row r="173" spans="1:18" x14ac:dyDescent="0.3">
      <c r="A173" s="10">
        <v>172</v>
      </c>
      <c r="B173" s="10" t="s">
        <v>29</v>
      </c>
      <c r="C173" s="11">
        <v>80</v>
      </c>
      <c r="D173" s="10" t="s">
        <v>0</v>
      </c>
      <c r="E173" s="2">
        <v>80</v>
      </c>
      <c r="F173" s="10" t="s">
        <v>0</v>
      </c>
      <c r="G173" s="10" t="s">
        <v>1</v>
      </c>
      <c r="H173" s="11">
        <v>72</v>
      </c>
      <c r="I173" s="10" t="s">
        <v>11</v>
      </c>
      <c r="J173" s="10" t="s">
        <v>8</v>
      </c>
      <c r="K173" s="11">
        <v>63.79</v>
      </c>
      <c r="L173" s="10" t="s">
        <v>9</v>
      </c>
      <c r="M173" s="11">
        <v>66.040000000000006</v>
      </c>
      <c r="N173" s="11" t="str">
        <f t="shared" si="2"/>
        <v>First Class</v>
      </c>
      <c r="O173" s="13" t="s">
        <v>5</v>
      </c>
      <c r="P173" s="13" t="str">
        <f>IF(AND(Placement_Data_Full_Class!$J173="Yes",Placement_Data_Full_Class!$H173&gt;70%),"High Priority", "Standard")</f>
        <v>High Priority</v>
      </c>
      <c r="Q173" s="12">
        <v>290000</v>
      </c>
      <c r="R173" s="10">
        <f>IF(Placement_Data_Full_Class!$K173&gt;90,Placement_Data_Full_Class!$Q173+(Placement_Data_Full_Class!$Q173*5%),Placement_Data_Full_Class!$Q173)</f>
        <v>290000</v>
      </c>
    </row>
    <row r="174" spans="1:18" x14ac:dyDescent="0.3">
      <c r="A174" s="10">
        <v>173</v>
      </c>
      <c r="B174" s="10" t="s">
        <v>29</v>
      </c>
      <c r="C174" s="11">
        <v>73</v>
      </c>
      <c r="D174" s="10" t="s">
        <v>0</v>
      </c>
      <c r="E174" s="2">
        <v>58</v>
      </c>
      <c r="F174" s="10" t="s">
        <v>0</v>
      </c>
      <c r="G174" s="10" t="s">
        <v>1</v>
      </c>
      <c r="H174" s="11">
        <v>56</v>
      </c>
      <c r="I174" s="10" t="s">
        <v>11</v>
      </c>
      <c r="J174" s="10" t="s">
        <v>3</v>
      </c>
      <c r="K174" s="11">
        <v>84</v>
      </c>
      <c r="L174" s="10" t="s">
        <v>4</v>
      </c>
      <c r="M174" s="11">
        <v>52.64</v>
      </c>
      <c r="N174" s="11" t="str">
        <f t="shared" si="2"/>
        <v>Pass</v>
      </c>
      <c r="O174" s="10" t="s">
        <v>5</v>
      </c>
      <c r="P174" s="10" t="str">
        <f>IF(AND(Placement_Data_Full_Class!$J174="Yes",Placement_Data_Full_Class!$H174&gt;70%),"High Priority", "Standard")</f>
        <v>Standard</v>
      </c>
      <c r="Q174" s="12">
        <v>300000</v>
      </c>
      <c r="R174" s="10">
        <f>IF(Placement_Data_Full_Class!$K174&gt;90,Placement_Data_Full_Class!$Q174+(Placement_Data_Full_Class!$Q174*5%),Placement_Data_Full_Class!$Q174)</f>
        <v>300000</v>
      </c>
    </row>
    <row r="175" spans="1:18" x14ac:dyDescent="0.3">
      <c r="A175" s="13">
        <v>174</v>
      </c>
      <c r="B175" s="13" t="s">
        <v>30</v>
      </c>
      <c r="C175" s="14">
        <v>52</v>
      </c>
      <c r="D175" s="13" t="s">
        <v>0</v>
      </c>
      <c r="E175" s="3">
        <v>52</v>
      </c>
      <c r="F175" s="13" t="s">
        <v>0</v>
      </c>
      <c r="G175" s="13" t="s">
        <v>7</v>
      </c>
      <c r="H175" s="14">
        <v>55</v>
      </c>
      <c r="I175" s="13" t="s">
        <v>2</v>
      </c>
      <c r="J175" s="13" t="s">
        <v>3</v>
      </c>
      <c r="K175" s="14">
        <v>67</v>
      </c>
      <c r="L175" s="13" t="s">
        <v>4</v>
      </c>
      <c r="M175" s="14">
        <v>59.32</v>
      </c>
      <c r="N175" s="14" t="str">
        <f t="shared" si="2"/>
        <v>Pass</v>
      </c>
      <c r="O175" s="13" t="s">
        <v>12</v>
      </c>
      <c r="P175" s="13" t="str">
        <f>IF(AND(Placement_Data_Full_Class!$J175="Yes",Placement_Data_Full_Class!$H175&gt;70%),"High Priority", "Standard")</f>
        <v>Standard</v>
      </c>
      <c r="Q175" s="15">
        <v>0</v>
      </c>
      <c r="R175" s="10">
        <f>IF(Placement_Data_Full_Class!$K175&gt;90,Placement_Data_Full_Class!$Q175+(Placement_Data_Full_Class!$Q175*5%),Placement_Data_Full_Class!$Q175)</f>
        <v>0</v>
      </c>
    </row>
    <row r="176" spans="1:18" x14ac:dyDescent="0.3">
      <c r="A176" s="10">
        <v>175</v>
      </c>
      <c r="B176" s="10" t="s">
        <v>29</v>
      </c>
      <c r="C176" s="11">
        <v>73.239999999999995</v>
      </c>
      <c r="D176" s="10" t="s">
        <v>0</v>
      </c>
      <c r="E176" s="2">
        <v>50.83</v>
      </c>
      <c r="F176" s="10" t="s">
        <v>0</v>
      </c>
      <c r="G176" s="10" t="s">
        <v>7</v>
      </c>
      <c r="H176" s="11">
        <v>64.27</v>
      </c>
      <c r="I176" s="10" t="s">
        <v>2</v>
      </c>
      <c r="J176" s="10" t="s">
        <v>8</v>
      </c>
      <c r="K176" s="11">
        <v>64</v>
      </c>
      <c r="L176" s="10" t="s">
        <v>9</v>
      </c>
      <c r="M176" s="11">
        <v>66.23</v>
      </c>
      <c r="N176" s="11" t="str">
        <f t="shared" si="2"/>
        <v>First Class</v>
      </c>
      <c r="O176" s="10" t="s">
        <v>5</v>
      </c>
      <c r="P176" s="10" t="str">
        <f>IF(AND(Placement_Data_Full_Class!$J176="Yes",Placement_Data_Full_Class!$H176&gt;70%),"High Priority", "Standard")</f>
        <v>High Priority</v>
      </c>
      <c r="Q176" s="12">
        <v>500000</v>
      </c>
      <c r="R176" s="10">
        <f>IF(Placement_Data_Full_Class!$K176&gt;90,Placement_Data_Full_Class!$Q176+(Placement_Data_Full_Class!$Q176*5%),Placement_Data_Full_Class!$Q176)</f>
        <v>500000</v>
      </c>
    </row>
    <row r="177" spans="1:18" x14ac:dyDescent="0.3">
      <c r="A177" s="10">
        <v>176</v>
      </c>
      <c r="B177" s="10" t="s">
        <v>29</v>
      </c>
      <c r="C177" s="11">
        <v>63</v>
      </c>
      <c r="D177" s="10" t="s">
        <v>0</v>
      </c>
      <c r="E177" s="2">
        <v>62</v>
      </c>
      <c r="F177" s="10" t="s">
        <v>0</v>
      </c>
      <c r="G177" s="10" t="s">
        <v>7</v>
      </c>
      <c r="H177" s="11">
        <v>65</v>
      </c>
      <c r="I177" s="10" t="s">
        <v>2</v>
      </c>
      <c r="J177" s="10" t="s">
        <v>3</v>
      </c>
      <c r="K177" s="11">
        <v>87.5</v>
      </c>
      <c r="L177" s="10" t="s">
        <v>4</v>
      </c>
      <c r="M177" s="11">
        <v>60.69</v>
      </c>
      <c r="N177" s="11" t="str">
        <f t="shared" si="2"/>
        <v>First Class</v>
      </c>
      <c r="O177" s="13" t="s">
        <v>12</v>
      </c>
      <c r="P177" s="13" t="str">
        <f>IF(AND(Placement_Data_Full_Class!$J177="Yes",Placement_Data_Full_Class!$H177&gt;70%),"High Priority", "Standard")</f>
        <v>Standard</v>
      </c>
      <c r="Q177" s="12">
        <v>0</v>
      </c>
      <c r="R177" s="10">
        <f>IF(Placement_Data_Full_Class!$K177&gt;90,Placement_Data_Full_Class!$Q177+(Placement_Data_Full_Class!$Q177*5%),Placement_Data_Full_Class!$Q177)</f>
        <v>0</v>
      </c>
    </row>
    <row r="178" spans="1:18" x14ac:dyDescent="0.3">
      <c r="A178" s="10">
        <v>177</v>
      </c>
      <c r="B178" s="10" t="s">
        <v>30</v>
      </c>
      <c r="C178" s="11">
        <v>59</v>
      </c>
      <c r="D178" s="10" t="s">
        <v>6</v>
      </c>
      <c r="E178" s="2">
        <v>60</v>
      </c>
      <c r="F178" s="10" t="s">
        <v>0</v>
      </c>
      <c r="G178" s="10" t="s">
        <v>1</v>
      </c>
      <c r="H178" s="11">
        <v>56</v>
      </c>
      <c r="I178" s="10" t="s">
        <v>11</v>
      </c>
      <c r="J178" s="10" t="s">
        <v>3</v>
      </c>
      <c r="K178" s="11">
        <v>55</v>
      </c>
      <c r="L178" s="10" t="s">
        <v>4</v>
      </c>
      <c r="M178" s="11">
        <v>57.9</v>
      </c>
      <c r="N178" s="11" t="str">
        <f t="shared" si="2"/>
        <v>Pass</v>
      </c>
      <c r="O178" s="10" t="s">
        <v>5</v>
      </c>
      <c r="P178" s="10" t="str">
        <f>IF(AND(Placement_Data_Full_Class!$J178="Yes",Placement_Data_Full_Class!$H178&gt;70%),"High Priority", "Standard")</f>
        <v>Standard</v>
      </c>
      <c r="Q178" s="12">
        <v>220000</v>
      </c>
      <c r="R178" s="10">
        <f>IF(Placement_Data_Full_Class!$K178&gt;90,Placement_Data_Full_Class!$Q178+(Placement_Data_Full_Class!$Q178*5%),Placement_Data_Full_Class!$Q178)</f>
        <v>220000</v>
      </c>
    </row>
    <row r="179" spans="1:18" x14ac:dyDescent="0.3">
      <c r="A179" s="13">
        <v>178</v>
      </c>
      <c r="B179" s="13" t="s">
        <v>30</v>
      </c>
      <c r="C179" s="14">
        <v>73</v>
      </c>
      <c r="D179" s="13" t="s">
        <v>6</v>
      </c>
      <c r="E179" s="3">
        <v>97</v>
      </c>
      <c r="F179" s="13" t="s">
        <v>0</v>
      </c>
      <c r="G179" s="13" t="s">
        <v>1</v>
      </c>
      <c r="H179" s="14">
        <v>79</v>
      </c>
      <c r="I179" s="13" t="s">
        <v>11</v>
      </c>
      <c r="J179" s="13" t="s">
        <v>8</v>
      </c>
      <c r="K179" s="14">
        <v>89</v>
      </c>
      <c r="L179" s="13" t="s">
        <v>9</v>
      </c>
      <c r="M179" s="14">
        <v>70.81</v>
      </c>
      <c r="N179" s="14" t="str">
        <f t="shared" si="2"/>
        <v>First Class</v>
      </c>
      <c r="O179" s="13" t="s">
        <v>5</v>
      </c>
      <c r="P179" s="13" t="str">
        <f>IF(AND(Placement_Data_Full_Class!$J179="Yes",Placement_Data_Full_Class!$H179&gt;70%),"High Priority", "Standard")</f>
        <v>High Priority</v>
      </c>
      <c r="Q179" s="15">
        <v>650000</v>
      </c>
      <c r="R179" s="10">
        <f>IF(Placement_Data_Full_Class!$K179&gt;90,Placement_Data_Full_Class!$Q179+(Placement_Data_Full_Class!$Q179*5%),Placement_Data_Full_Class!$Q179)</f>
        <v>650000</v>
      </c>
    </row>
    <row r="180" spans="1:18" x14ac:dyDescent="0.3">
      <c r="A180" s="10">
        <v>179</v>
      </c>
      <c r="B180" s="10" t="s">
        <v>29</v>
      </c>
      <c r="C180" s="11">
        <v>68</v>
      </c>
      <c r="D180" s="10" t="s">
        <v>0</v>
      </c>
      <c r="E180" s="2">
        <v>56</v>
      </c>
      <c r="F180" s="10" t="s">
        <v>0</v>
      </c>
      <c r="G180" s="10" t="s">
        <v>7</v>
      </c>
      <c r="H180" s="11">
        <v>68</v>
      </c>
      <c r="I180" s="10" t="s">
        <v>2</v>
      </c>
      <c r="J180" s="10" t="s">
        <v>3</v>
      </c>
      <c r="K180" s="11">
        <v>73</v>
      </c>
      <c r="L180" s="10" t="s">
        <v>4</v>
      </c>
      <c r="M180" s="11">
        <v>68.069999999999993</v>
      </c>
      <c r="N180" s="11" t="str">
        <f t="shared" si="2"/>
        <v>First Class</v>
      </c>
      <c r="O180" s="10" t="s">
        <v>5</v>
      </c>
      <c r="P180" s="10" t="str">
        <f>IF(AND(Placement_Data_Full_Class!$J180="Yes",Placement_Data_Full_Class!$H180&gt;70%),"High Priority", "Standard")</f>
        <v>Standard</v>
      </c>
      <c r="Q180" s="12">
        <v>350000</v>
      </c>
      <c r="R180" s="10">
        <f>IF(Placement_Data_Full_Class!$K180&gt;90,Placement_Data_Full_Class!$Q180+(Placement_Data_Full_Class!$Q180*5%),Placement_Data_Full_Class!$Q180)</f>
        <v>350000</v>
      </c>
    </row>
    <row r="181" spans="1:18" x14ac:dyDescent="0.3">
      <c r="A181" s="10">
        <v>180</v>
      </c>
      <c r="B181" s="10" t="s">
        <v>30</v>
      </c>
      <c r="C181" s="11">
        <v>77.8</v>
      </c>
      <c r="D181" s="10" t="s">
        <v>6</v>
      </c>
      <c r="E181" s="2">
        <v>64</v>
      </c>
      <c r="F181" s="10" t="s">
        <v>6</v>
      </c>
      <c r="G181" s="10" t="s">
        <v>7</v>
      </c>
      <c r="H181" s="11">
        <v>64.2</v>
      </c>
      <c r="I181" s="10" t="s">
        <v>2</v>
      </c>
      <c r="J181" s="10" t="s">
        <v>3</v>
      </c>
      <c r="K181" s="11">
        <v>75.5</v>
      </c>
      <c r="L181" s="10" t="s">
        <v>4</v>
      </c>
      <c r="M181" s="11">
        <v>72.14</v>
      </c>
      <c r="N181" s="11" t="str">
        <f t="shared" si="2"/>
        <v>First Class</v>
      </c>
      <c r="O181" s="13" t="s">
        <v>12</v>
      </c>
      <c r="P181" s="13" t="str">
        <f>IF(AND(Placement_Data_Full_Class!$J181="Yes",Placement_Data_Full_Class!$H181&gt;70%),"High Priority", "Standard")</f>
        <v>Standard</v>
      </c>
      <c r="Q181" s="12">
        <v>0</v>
      </c>
      <c r="R181" s="10">
        <f>IF(Placement_Data_Full_Class!$K181&gt;90,Placement_Data_Full_Class!$Q181+(Placement_Data_Full_Class!$Q181*5%),Placement_Data_Full_Class!$Q181)</f>
        <v>0</v>
      </c>
    </row>
    <row r="182" spans="1:18" x14ac:dyDescent="0.3">
      <c r="A182" s="10">
        <v>181</v>
      </c>
      <c r="B182" s="10" t="s">
        <v>29</v>
      </c>
      <c r="C182" s="11">
        <v>65</v>
      </c>
      <c r="D182" s="10" t="s">
        <v>6</v>
      </c>
      <c r="E182" s="2">
        <v>71.5</v>
      </c>
      <c r="F182" s="10" t="s">
        <v>0</v>
      </c>
      <c r="G182" s="10" t="s">
        <v>1</v>
      </c>
      <c r="H182" s="11">
        <v>62.8</v>
      </c>
      <c r="I182" s="10" t="s">
        <v>11</v>
      </c>
      <c r="J182" s="10" t="s">
        <v>8</v>
      </c>
      <c r="K182" s="11">
        <v>57</v>
      </c>
      <c r="L182" s="10" t="s">
        <v>9</v>
      </c>
      <c r="M182" s="11">
        <v>56.6</v>
      </c>
      <c r="N182" s="11" t="str">
        <f t="shared" si="2"/>
        <v>Pass</v>
      </c>
      <c r="O182" s="10" t="s">
        <v>5</v>
      </c>
      <c r="P182" s="10" t="str">
        <f>IF(AND(Placement_Data_Full_Class!$J182="Yes",Placement_Data_Full_Class!$H182&gt;70%),"High Priority", "Standard")</f>
        <v>High Priority</v>
      </c>
      <c r="Q182" s="12">
        <v>265000</v>
      </c>
      <c r="R182" s="10">
        <f>IF(Placement_Data_Full_Class!$K182&gt;90,Placement_Data_Full_Class!$Q182+(Placement_Data_Full_Class!$Q182*5%),Placement_Data_Full_Class!$Q182)</f>
        <v>265000</v>
      </c>
    </row>
    <row r="183" spans="1:18" x14ac:dyDescent="0.3">
      <c r="A183" s="13">
        <v>182</v>
      </c>
      <c r="B183" s="13" t="s">
        <v>29</v>
      </c>
      <c r="C183" s="14">
        <v>62</v>
      </c>
      <c r="D183" s="13" t="s">
        <v>6</v>
      </c>
      <c r="E183" s="3">
        <v>60.33</v>
      </c>
      <c r="F183" s="13" t="s">
        <v>0</v>
      </c>
      <c r="G183" s="13" t="s">
        <v>7</v>
      </c>
      <c r="H183" s="14">
        <v>64.209999999999994</v>
      </c>
      <c r="I183" s="13" t="s">
        <v>2</v>
      </c>
      <c r="J183" s="13" t="s">
        <v>3</v>
      </c>
      <c r="K183" s="14">
        <v>63</v>
      </c>
      <c r="L183" s="13" t="s">
        <v>4</v>
      </c>
      <c r="M183" s="14">
        <v>60.02</v>
      </c>
      <c r="N183" s="14" t="str">
        <f t="shared" si="2"/>
        <v>First Class</v>
      </c>
      <c r="O183" s="13" t="s">
        <v>12</v>
      </c>
      <c r="P183" s="13" t="str">
        <f>IF(AND(Placement_Data_Full_Class!$J183="Yes",Placement_Data_Full_Class!$H183&gt;70%),"High Priority", "Standard")</f>
        <v>Standard</v>
      </c>
      <c r="Q183" s="15">
        <v>0</v>
      </c>
      <c r="R183" s="10">
        <f>IF(Placement_Data_Full_Class!$K183&gt;90,Placement_Data_Full_Class!$Q183+(Placement_Data_Full_Class!$Q183*5%),Placement_Data_Full_Class!$Q183)</f>
        <v>0</v>
      </c>
    </row>
    <row r="184" spans="1:18" x14ac:dyDescent="0.3">
      <c r="A184" s="10">
        <v>183</v>
      </c>
      <c r="B184" s="10" t="s">
        <v>29</v>
      </c>
      <c r="C184" s="11">
        <v>52</v>
      </c>
      <c r="D184" s="10" t="s">
        <v>0</v>
      </c>
      <c r="E184" s="2">
        <v>65</v>
      </c>
      <c r="F184" s="10" t="s">
        <v>0</v>
      </c>
      <c r="G184" s="10" t="s">
        <v>10</v>
      </c>
      <c r="H184" s="11">
        <v>57</v>
      </c>
      <c r="I184" s="10" t="s">
        <v>0</v>
      </c>
      <c r="J184" s="10" t="s">
        <v>8</v>
      </c>
      <c r="K184" s="11">
        <v>75</v>
      </c>
      <c r="L184" s="10" t="s">
        <v>9</v>
      </c>
      <c r="M184" s="11">
        <v>59.81</v>
      </c>
      <c r="N184" s="11" t="str">
        <f t="shared" si="2"/>
        <v>Pass</v>
      </c>
      <c r="O184" s="10" t="s">
        <v>12</v>
      </c>
      <c r="P184" s="10" t="str">
        <f>IF(AND(Placement_Data_Full_Class!$J184="Yes",Placement_Data_Full_Class!$H184&gt;70%),"High Priority", "Standard")</f>
        <v>High Priority</v>
      </c>
      <c r="Q184" s="12">
        <v>0</v>
      </c>
      <c r="R184" s="10">
        <f>IF(Placement_Data_Full_Class!$K184&gt;90,Placement_Data_Full_Class!$Q184+(Placement_Data_Full_Class!$Q184*5%),Placement_Data_Full_Class!$Q184)</f>
        <v>0</v>
      </c>
    </row>
    <row r="185" spans="1:18" x14ac:dyDescent="0.3">
      <c r="A185" s="10">
        <v>184</v>
      </c>
      <c r="B185" s="10" t="s">
        <v>29</v>
      </c>
      <c r="C185" s="11">
        <v>65</v>
      </c>
      <c r="D185" s="10" t="s">
        <v>6</v>
      </c>
      <c r="E185" s="2">
        <v>77</v>
      </c>
      <c r="F185" s="10" t="s">
        <v>6</v>
      </c>
      <c r="G185" s="10" t="s">
        <v>1</v>
      </c>
      <c r="H185" s="11">
        <v>69</v>
      </c>
      <c r="I185" s="10" t="s">
        <v>11</v>
      </c>
      <c r="J185" s="10" t="s">
        <v>3</v>
      </c>
      <c r="K185" s="11">
        <v>60</v>
      </c>
      <c r="L185" s="10" t="s">
        <v>4</v>
      </c>
      <c r="M185" s="11">
        <v>61.82</v>
      </c>
      <c r="N185" s="11" t="str">
        <f t="shared" si="2"/>
        <v>First Class</v>
      </c>
      <c r="O185" s="13" t="s">
        <v>5</v>
      </c>
      <c r="P185" s="13" t="str">
        <f>IF(AND(Placement_Data_Full_Class!$J185="Yes",Placement_Data_Full_Class!$H185&gt;70%),"High Priority", "Standard")</f>
        <v>Standard</v>
      </c>
      <c r="Q185" s="12">
        <v>276000</v>
      </c>
      <c r="R185" s="10">
        <f>IF(Placement_Data_Full_Class!$K185&gt;90,Placement_Data_Full_Class!$Q185+(Placement_Data_Full_Class!$Q185*5%),Placement_Data_Full_Class!$Q185)</f>
        <v>276000</v>
      </c>
    </row>
    <row r="186" spans="1:18" x14ac:dyDescent="0.3">
      <c r="A186" s="10">
        <v>185</v>
      </c>
      <c r="B186" s="10" t="s">
        <v>30</v>
      </c>
      <c r="C186" s="11">
        <v>56.28</v>
      </c>
      <c r="D186" s="10" t="s">
        <v>0</v>
      </c>
      <c r="E186" s="2">
        <v>62.83</v>
      </c>
      <c r="F186" s="10" t="s">
        <v>0</v>
      </c>
      <c r="G186" s="10" t="s">
        <v>1</v>
      </c>
      <c r="H186" s="11">
        <v>59.79</v>
      </c>
      <c r="I186" s="10" t="s">
        <v>11</v>
      </c>
      <c r="J186" s="10" t="s">
        <v>3</v>
      </c>
      <c r="K186" s="11">
        <v>60</v>
      </c>
      <c r="L186" s="10" t="s">
        <v>4</v>
      </c>
      <c r="M186" s="11">
        <v>57.29</v>
      </c>
      <c r="N186" s="11" t="str">
        <f t="shared" si="2"/>
        <v>Pass</v>
      </c>
      <c r="O186" s="10" t="s">
        <v>12</v>
      </c>
      <c r="P186" s="10" t="str">
        <f>IF(AND(Placement_Data_Full_Class!$J186="Yes",Placement_Data_Full_Class!$H186&gt;70%),"High Priority", "Standard")</f>
        <v>Standard</v>
      </c>
      <c r="Q186" s="12">
        <v>0</v>
      </c>
      <c r="R186" s="10">
        <f>IF(Placement_Data_Full_Class!$K186&gt;90,Placement_Data_Full_Class!$Q186+(Placement_Data_Full_Class!$Q186*5%),Placement_Data_Full_Class!$Q186)</f>
        <v>0</v>
      </c>
    </row>
    <row r="187" spans="1:18" x14ac:dyDescent="0.3">
      <c r="A187" s="10">
        <v>186</v>
      </c>
      <c r="B187" s="10" t="s">
        <v>30</v>
      </c>
      <c r="C187" s="11">
        <v>88</v>
      </c>
      <c r="D187" s="10" t="s">
        <v>6</v>
      </c>
      <c r="E187" s="2">
        <v>72</v>
      </c>
      <c r="F187" s="10" t="s">
        <v>6</v>
      </c>
      <c r="G187" s="10" t="s">
        <v>7</v>
      </c>
      <c r="H187" s="11">
        <v>78</v>
      </c>
      <c r="I187" s="10" t="s">
        <v>0</v>
      </c>
      <c r="J187" s="10" t="s">
        <v>3</v>
      </c>
      <c r="K187" s="11">
        <v>82</v>
      </c>
      <c r="L187" s="10" t="s">
        <v>4</v>
      </c>
      <c r="M187" s="11">
        <v>71.430000000000007</v>
      </c>
      <c r="N187" s="11" t="str">
        <f t="shared" si="2"/>
        <v>First Class</v>
      </c>
      <c r="O187" s="13" t="s">
        <v>5</v>
      </c>
      <c r="P187" s="13" t="str">
        <f>IF(AND(Placement_Data_Full_Class!$J187="Yes",Placement_Data_Full_Class!$H187&gt;70%),"High Priority", "Standard")</f>
        <v>Standard</v>
      </c>
      <c r="Q187" s="12">
        <v>252000</v>
      </c>
      <c r="R187" s="10">
        <f>IF(Placement_Data_Full_Class!$K187&gt;90,Placement_Data_Full_Class!$Q187+(Placement_Data_Full_Class!$Q187*5%),Placement_Data_Full_Class!$Q187)</f>
        <v>252000</v>
      </c>
    </row>
    <row r="188" spans="1:18" x14ac:dyDescent="0.3">
      <c r="A188" s="10">
        <v>187</v>
      </c>
      <c r="B188" s="10" t="s">
        <v>30</v>
      </c>
      <c r="C188" s="11">
        <v>52</v>
      </c>
      <c r="D188" s="10" t="s">
        <v>6</v>
      </c>
      <c r="E188" s="2">
        <v>64</v>
      </c>
      <c r="F188" s="10" t="s">
        <v>6</v>
      </c>
      <c r="G188" s="10" t="s">
        <v>1</v>
      </c>
      <c r="H188" s="11">
        <v>61</v>
      </c>
      <c r="I188" s="10" t="s">
        <v>11</v>
      </c>
      <c r="J188" s="10" t="s">
        <v>3</v>
      </c>
      <c r="K188" s="11">
        <v>55</v>
      </c>
      <c r="L188" s="10" t="s">
        <v>9</v>
      </c>
      <c r="M188" s="11">
        <v>62.93</v>
      </c>
      <c r="N188" s="11" t="str">
        <f t="shared" si="2"/>
        <v>First Class</v>
      </c>
      <c r="O188" s="10" t="s">
        <v>12</v>
      </c>
      <c r="P188" s="10" t="str">
        <f>IF(AND(Placement_Data_Full_Class!$J188="Yes",Placement_Data_Full_Class!$H188&gt;70%),"High Priority", "Standard")</f>
        <v>Standard</v>
      </c>
      <c r="Q188" s="12">
        <v>0</v>
      </c>
      <c r="R188" s="10">
        <f>IF(Placement_Data_Full_Class!$K188&gt;90,Placement_Data_Full_Class!$Q188+(Placement_Data_Full_Class!$Q188*5%),Placement_Data_Full_Class!$Q188)</f>
        <v>0</v>
      </c>
    </row>
    <row r="189" spans="1:18" x14ac:dyDescent="0.3">
      <c r="A189" s="13">
        <v>188</v>
      </c>
      <c r="B189" s="13" t="s">
        <v>29</v>
      </c>
      <c r="C189" s="14">
        <v>78.5</v>
      </c>
      <c r="D189" s="13" t="s">
        <v>6</v>
      </c>
      <c r="E189" s="3">
        <v>65.5</v>
      </c>
      <c r="F189" s="13" t="s">
        <v>6</v>
      </c>
      <c r="G189" s="13" t="s">
        <v>7</v>
      </c>
      <c r="H189" s="14">
        <v>67</v>
      </c>
      <c r="I189" s="13" t="s">
        <v>2</v>
      </c>
      <c r="J189" s="13" t="s">
        <v>8</v>
      </c>
      <c r="K189" s="14">
        <v>95</v>
      </c>
      <c r="L189" s="13" t="s">
        <v>9</v>
      </c>
      <c r="M189" s="14">
        <v>64.86</v>
      </c>
      <c r="N189" s="14" t="str">
        <f t="shared" si="2"/>
        <v>First Class</v>
      </c>
      <c r="O189" s="13" t="s">
        <v>5</v>
      </c>
      <c r="P189" s="13" t="str">
        <f>IF(AND(Placement_Data_Full_Class!$J189="Yes",Placement_Data_Full_Class!$H189&gt;70%),"High Priority", "Standard")</f>
        <v>High Priority</v>
      </c>
      <c r="Q189" s="15">
        <v>280000</v>
      </c>
      <c r="R189" s="10">
        <f>IF(Placement_Data_Full_Class!$K189&gt;90,Placement_Data_Full_Class!$Q189+(Placement_Data_Full_Class!$Q189*5%),Placement_Data_Full_Class!$Q189)</f>
        <v>294000</v>
      </c>
    </row>
    <row r="190" spans="1:18" x14ac:dyDescent="0.3">
      <c r="A190" s="10">
        <v>189</v>
      </c>
      <c r="B190" s="10" t="s">
        <v>29</v>
      </c>
      <c r="C190" s="11">
        <v>61.8</v>
      </c>
      <c r="D190" s="10" t="s">
        <v>0</v>
      </c>
      <c r="E190" s="2">
        <v>47</v>
      </c>
      <c r="F190" s="10" t="s">
        <v>0</v>
      </c>
      <c r="G190" s="10" t="s">
        <v>1</v>
      </c>
      <c r="H190" s="11">
        <v>54.38</v>
      </c>
      <c r="I190" s="10" t="s">
        <v>11</v>
      </c>
      <c r="J190" s="10" t="s">
        <v>3</v>
      </c>
      <c r="K190" s="11">
        <v>57</v>
      </c>
      <c r="L190" s="10" t="s">
        <v>9</v>
      </c>
      <c r="M190" s="11">
        <v>56.13</v>
      </c>
      <c r="N190" s="11" t="str">
        <f t="shared" si="2"/>
        <v>Pass</v>
      </c>
      <c r="O190" s="10" t="s">
        <v>12</v>
      </c>
      <c r="P190" s="10" t="str">
        <f>IF(AND(Placement_Data_Full_Class!$J190="Yes",Placement_Data_Full_Class!$H190&gt;70%),"High Priority", "Standard")</f>
        <v>Standard</v>
      </c>
      <c r="Q190" s="12">
        <v>0</v>
      </c>
      <c r="R190" s="10">
        <f>IF(Placement_Data_Full_Class!$K190&gt;90,Placement_Data_Full_Class!$Q190+(Placement_Data_Full_Class!$Q190*5%),Placement_Data_Full_Class!$Q190)</f>
        <v>0</v>
      </c>
    </row>
    <row r="191" spans="1:18" x14ac:dyDescent="0.3">
      <c r="A191" s="10">
        <v>190</v>
      </c>
      <c r="B191" s="10" t="s">
        <v>30</v>
      </c>
      <c r="C191" s="11">
        <v>54</v>
      </c>
      <c r="D191" s="10" t="s">
        <v>6</v>
      </c>
      <c r="E191" s="2">
        <v>77.599999999999994</v>
      </c>
      <c r="F191" s="10" t="s">
        <v>0</v>
      </c>
      <c r="G191" s="10" t="s">
        <v>1</v>
      </c>
      <c r="H191" s="11">
        <v>69.2</v>
      </c>
      <c r="I191" s="10" t="s">
        <v>11</v>
      </c>
      <c r="J191" s="10" t="s">
        <v>3</v>
      </c>
      <c r="K191" s="11">
        <v>95.65</v>
      </c>
      <c r="L191" s="10" t="s">
        <v>9</v>
      </c>
      <c r="M191" s="11">
        <v>66.94</v>
      </c>
      <c r="N191" s="11" t="str">
        <f t="shared" si="2"/>
        <v>First Class</v>
      </c>
      <c r="O191" s="13" t="s">
        <v>12</v>
      </c>
      <c r="P191" s="13" t="str">
        <f>IF(AND(Placement_Data_Full_Class!$J191="Yes",Placement_Data_Full_Class!$H191&gt;70%),"High Priority", "Standard")</f>
        <v>Standard</v>
      </c>
      <c r="Q191" s="12">
        <v>0</v>
      </c>
      <c r="R191" s="10">
        <f>IF(Placement_Data_Full_Class!$K191&gt;90,Placement_Data_Full_Class!$Q191+(Placement_Data_Full_Class!$Q191*5%),Placement_Data_Full_Class!$Q191)</f>
        <v>0</v>
      </c>
    </row>
    <row r="192" spans="1:18" x14ac:dyDescent="0.3">
      <c r="A192" s="10">
        <v>191</v>
      </c>
      <c r="B192" s="10" t="s">
        <v>30</v>
      </c>
      <c r="C192" s="11">
        <v>64</v>
      </c>
      <c r="D192" s="10" t="s">
        <v>0</v>
      </c>
      <c r="E192" s="2">
        <v>70.2</v>
      </c>
      <c r="F192" s="10" t="s">
        <v>6</v>
      </c>
      <c r="G192" s="10" t="s">
        <v>1</v>
      </c>
      <c r="H192" s="11">
        <v>61</v>
      </c>
      <c r="I192" s="10" t="s">
        <v>11</v>
      </c>
      <c r="J192" s="10" t="s">
        <v>3</v>
      </c>
      <c r="K192" s="11">
        <v>50</v>
      </c>
      <c r="L192" s="10" t="s">
        <v>9</v>
      </c>
      <c r="M192" s="11">
        <v>62.5</v>
      </c>
      <c r="N192" s="11" t="str">
        <f t="shared" si="2"/>
        <v>First Class</v>
      </c>
      <c r="O192" s="10" t="s">
        <v>12</v>
      </c>
      <c r="P192" s="10" t="str">
        <f>IF(AND(Placement_Data_Full_Class!$J192="Yes",Placement_Data_Full_Class!$H192&gt;70%),"High Priority", "Standard")</f>
        <v>Standard</v>
      </c>
      <c r="Q192" s="12">
        <v>0</v>
      </c>
      <c r="R192" s="10">
        <f>IF(Placement_Data_Full_Class!$K192&gt;90,Placement_Data_Full_Class!$Q192+(Placement_Data_Full_Class!$Q192*5%),Placement_Data_Full_Class!$Q192)</f>
        <v>0</v>
      </c>
    </row>
    <row r="193" spans="1:18" x14ac:dyDescent="0.3">
      <c r="A193" s="10">
        <v>192</v>
      </c>
      <c r="B193" s="10" t="s">
        <v>29</v>
      </c>
      <c r="C193" s="11">
        <v>67</v>
      </c>
      <c r="D193" s="10" t="s">
        <v>0</v>
      </c>
      <c r="E193" s="2">
        <v>61</v>
      </c>
      <c r="F193" s="10" t="s">
        <v>6</v>
      </c>
      <c r="G193" s="10" t="s">
        <v>7</v>
      </c>
      <c r="H193" s="11">
        <v>72</v>
      </c>
      <c r="I193" s="10" t="s">
        <v>11</v>
      </c>
      <c r="J193" s="10" t="s">
        <v>3</v>
      </c>
      <c r="K193" s="11">
        <v>72</v>
      </c>
      <c r="L193" s="10" t="s">
        <v>9</v>
      </c>
      <c r="M193" s="11">
        <v>61.01</v>
      </c>
      <c r="N193" s="11" t="str">
        <f t="shared" si="2"/>
        <v>First Class</v>
      </c>
      <c r="O193" s="13" t="s">
        <v>5</v>
      </c>
      <c r="P193" s="13" t="str">
        <f>IF(AND(Placement_Data_Full_Class!$J193="Yes",Placement_Data_Full_Class!$H193&gt;70%),"High Priority", "Standard")</f>
        <v>Standard</v>
      </c>
      <c r="Q193" s="12">
        <v>264000</v>
      </c>
      <c r="R193" s="10">
        <f>IF(Placement_Data_Full_Class!$K193&gt;90,Placement_Data_Full_Class!$Q193+(Placement_Data_Full_Class!$Q193*5%),Placement_Data_Full_Class!$Q193)</f>
        <v>264000</v>
      </c>
    </row>
    <row r="194" spans="1:18" x14ac:dyDescent="0.3">
      <c r="A194" s="10">
        <v>193</v>
      </c>
      <c r="B194" s="10" t="s">
        <v>29</v>
      </c>
      <c r="C194" s="11">
        <v>65.2</v>
      </c>
      <c r="D194" s="10" t="s">
        <v>6</v>
      </c>
      <c r="E194" s="2">
        <v>61.4</v>
      </c>
      <c r="F194" s="10" t="s">
        <v>6</v>
      </c>
      <c r="G194" s="10" t="s">
        <v>1</v>
      </c>
      <c r="H194" s="11">
        <v>64.8</v>
      </c>
      <c r="I194" s="10" t="s">
        <v>11</v>
      </c>
      <c r="J194" s="10" t="s">
        <v>8</v>
      </c>
      <c r="K194" s="11">
        <v>93.4</v>
      </c>
      <c r="L194" s="10" t="s">
        <v>9</v>
      </c>
      <c r="M194" s="11">
        <v>57.34</v>
      </c>
      <c r="N194" s="11" t="str">
        <f t="shared" ref="N194:N257" si="3">IF(M194&gt;75,"Distinction",IF(M194&gt;60,"First Class","Pass"))</f>
        <v>Pass</v>
      </c>
      <c r="O194" s="10" t="s">
        <v>5</v>
      </c>
      <c r="P194" s="10" t="str">
        <f>IF(AND(Placement_Data_Full_Class!$J194="Yes",Placement_Data_Full_Class!$H194&gt;70%),"High Priority", "Standard")</f>
        <v>High Priority</v>
      </c>
      <c r="Q194" s="12">
        <v>270000</v>
      </c>
      <c r="R194" s="10">
        <f>IF(Placement_Data_Full_Class!$K194&gt;90,Placement_Data_Full_Class!$Q194+(Placement_Data_Full_Class!$Q194*5%),Placement_Data_Full_Class!$Q194)</f>
        <v>283500</v>
      </c>
    </row>
    <row r="195" spans="1:18" x14ac:dyDescent="0.3">
      <c r="A195" s="13">
        <v>194</v>
      </c>
      <c r="B195" s="13" t="s">
        <v>30</v>
      </c>
      <c r="C195" s="14">
        <v>60</v>
      </c>
      <c r="D195" s="13" t="s">
        <v>6</v>
      </c>
      <c r="E195" s="3">
        <v>63</v>
      </c>
      <c r="F195" s="13" t="s">
        <v>6</v>
      </c>
      <c r="G195" s="13" t="s">
        <v>10</v>
      </c>
      <c r="H195" s="14">
        <v>56</v>
      </c>
      <c r="I195" s="13" t="s">
        <v>0</v>
      </c>
      <c r="J195" s="13" t="s">
        <v>8</v>
      </c>
      <c r="K195" s="14">
        <v>80</v>
      </c>
      <c r="L195" s="13" t="s">
        <v>4</v>
      </c>
      <c r="M195" s="14">
        <v>56.63</v>
      </c>
      <c r="N195" s="14" t="str">
        <f t="shared" si="3"/>
        <v>Pass</v>
      </c>
      <c r="O195" s="13" t="s">
        <v>5</v>
      </c>
      <c r="P195" s="13" t="str">
        <f>IF(AND(Placement_Data_Full_Class!$J195="Yes",Placement_Data_Full_Class!$H195&gt;70%),"High Priority", "Standard")</f>
        <v>High Priority</v>
      </c>
      <c r="Q195" s="15">
        <v>300000</v>
      </c>
      <c r="R195" s="10">
        <f>IF(Placement_Data_Full_Class!$K195&gt;90,Placement_Data_Full_Class!$Q195+(Placement_Data_Full_Class!$Q195*5%),Placement_Data_Full_Class!$Q195)</f>
        <v>300000</v>
      </c>
    </row>
    <row r="196" spans="1:18" x14ac:dyDescent="0.3">
      <c r="A196" s="10">
        <v>195</v>
      </c>
      <c r="B196" s="10" t="s">
        <v>29</v>
      </c>
      <c r="C196" s="11">
        <v>52</v>
      </c>
      <c r="D196" s="10" t="s">
        <v>0</v>
      </c>
      <c r="E196" s="2">
        <v>55</v>
      </c>
      <c r="F196" s="10" t="s">
        <v>0</v>
      </c>
      <c r="G196" s="10" t="s">
        <v>1</v>
      </c>
      <c r="H196" s="11">
        <v>56.3</v>
      </c>
      <c r="I196" s="10" t="s">
        <v>11</v>
      </c>
      <c r="J196" s="10" t="s">
        <v>3</v>
      </c>
      <c r="K196" s="11">
        <v>59</v>
      </c>
      <c r="L196" s="10" t="s">
        <v>9</v>
      </c>
      <c r="M196" s="11">
        <v>64.739999999999995</v>
      </c>
      <c r="N196" s="11" t="str">
        <f t="shared" si="3"/>
        <v>First Class</v>
      </c>
      <c r="O196" s="10" t="s">
        <v>12</v>
      </c>
      <c r="P196" s="10" t="str">
        <f>IF(AND(Placement_Data_Full_Class!$J196="Yes",Placement_Data_Full_Class!$H196&gt;70%),"High Priority", "Standard")</f>
        <v>Standard</v>
      </c>
      <c r="Q196" s="12">
        <v>0</v>
      </c>
      <c r="R196" s="10">
        <f>IF(Placement_Data_Full_Class!$K196&gt;90,Placement_Data_Full_Class!$Q196+(Placement_Data_Full_Class!$Q196*5%),Placement_Data_Full_Class!$Q196)</f>
        <v>0</v>
      </c>
    </row>
    <row r="197" spans="1:18" x14ac:dyDescent="0.3">
      <c r="A197" s="13">
        <v>196</v>
      </c>
      <c r="B197" s="13" t="s">
        <v>29</v>
      </c>
      <c r="C197" s="14">
        <v>66</v>
      </c>
      <c r="D197" s="13" t="s">
        <v>6</v>
      </c>
      <c r="E197" s="3">
        <v>76</v>
      </c>
      <c r="F197" s="13" t="s">
        <v>6</v>
      </c>
      <c r="G197" s="13" t="s">
        <v>1</v>
      </c>
      <c r="H197" s="14">
        <v>72</v>
      </c>
      <c r="I197" s="13" t="s">
        <v>11</v>
      </c>
      <c r="J197" s="13" t="s">
        <v>8</v>
      </c>
      <c r="K197" s="14">
        <v>84</v>
      </c>
      <c r="L197" s="13" t="s">
        <v>4</v>
      </c>
      <c r="M197" s="14">
        <v>58.95</v>
      </c>
      <c r="N197" s="14" t="str">
        <f t="shared" si="3"/>
        <v>Pass</v>
      </c>
      <c r="O197" s="13" t="s">
        <v>5</v>
      </c>
      <c r="P197" s="13" t="str">
        <f>IF(AND(Placement_Data_Full_Class!$J197="Yes",Placement_Data_Full_Class!$H197&gt;70%),"High Priority", "Standard")</f>
        <v>High Priority</v>
      </c>
      <c r="Q197" s="15">
        <v>275000</v>
      </c>
      <c r="R197" s="10">
        <f>IF(Placement_Data_Full_Class!$K197&gt;90,Placement_Data_Full_Class!$Q197+(Placement_Data_Full_Class!$Q197*5%),Placement_Data_Full_Class!$Q197)</f>
        <v>275000</v>
      </c>
    </row>
    <row r="198" spans="1:18" x14ac:dyDescent="0.3">
      <c r="A198" s="10">
        <v>197</v>
      </c>
      <c r="B198" s="10" t="s">
        <v>29</v>
      </c>
      <c r="C198" s="11">
        <v>72</v>
      </c>
      <c r="D198" s="10" t="s">
        <v>0</v>
      </c>
      <c r="E198" s="2">
        <v>63</v>
      </c>
      <c r="F198" s="10" t="s">
        <v>0</v>
      </c>
      <c r="G198" s="10" t="s">
        <v>7</v>
      </c>
      <c r="H198" s="11">
        <v>77.5</v>
      </c>
      <c r="I198" s="10" t="s">
        <v>2</v>
      </c>
      <c r="J198" s="10" t="s">
        <v>8</v>
      </c>
      <c r="K198" s="11">
        <v>78</v>
      </c>
      <c r="L198" s="10" t="s">
        <v>9</v>
      </c>
      <c r="M198" s="11">
        <v>54.48</v>
      </c>
      <c r="N198" s="11" t="str">
        <f t="shared" si="3"/>
        <v>Pass</v>
      </c>
      <c r="O198" s="10" t="s">
        <v>5</v>
      </c>
      <c r="P198" s="10" t="str">
        <f>IF(AND(Placement_Data_Full_Class!$J198="Yes",Placement_Data_Full_Class!$H198&gt;70%),"High Priority", "Standard")</f>
        <v>High Priority</v>
      </c>
      <c r="Q198" s="12">
        <v>250000</v>
      </c>
      <c r="R198" s="10">
        <f>IF(Placement_Data_Full_Class!$K198&gt;90,Placement_Data_Full_Class!$Q198+(Placement_Data_Full_Class!$Q198*5%),Placement_Data_Full_Class!$Q198)</f>
        <v>250000</v>
      </c>
    </row>
    <row r="199" spans="1:18" x14ac:dyDescent="0.3">
      <c r="A199" s="10">
        <v>198</v>
      </c>
      <c r="B199" s="10" t="s">
        <v>30</v>
      </c>
      <c r="C199" s="11">
        <v>83.96</v>
      </c>
      <c r="D199" s="10" t="s">
        <v>0</v>
      </c>
      <c r="E199" s="2">
        <v>53</v>
      </c>
      <c r="F199" s="10" t="s">
        <v>0</v>
      </c>
      <c r="G199" s="10" t="s">
        <v>7</v>
      </c>
      <c r="H199" s="11">
        <v>91</v>
      </c>
      <c r="I199" s="10" t="s">
        <v>2</v>
      </c>
      <c r="J199" s="10" t="s">
        <v>3</v>
      </c>
      <c r="K199" s="11">
        <v>59.32</v>
      </c>
      <c r="L199" s="10" t="s">
        <v>4</v>
      </c>
      <c r="M199" s="11">
        <v>69.709999999999994</v>
      </c>
      <c r="N199" s="11" t="str">
        <f t="shared" si="3"/>
        <v>First Class</v>
      </c>
      <c r="O199" s="13" t="s">
        <v>5</v>
      </c>
      <c r="P199" s="13" t="str">
        <f>IF(AND(Placement_Data_Full_Class!$J199="Yes",Placement_Data_Full_Class!$H199&gt;70%),"High Priority", "Standard")</f>
        <v>Standard</v>
      </c>
      <c r="Q199" s="12">
        <v>260000</v>
      </c>
      <c r="R199" s="10">
        <f>IF(Placement_Data_Full_Class!$K199&gt;90,Placement_Data_Full_Class!$Q199+(Placement_Data_Full_Class!$Q199*5%),Placement_Data_Full_Class!$Q199)</f>
        <v>260000</v>
      </c>
    </row>
    <row r="200" spans="1:18" x14ac:dyDescent="0.3">
      <c r="A200" s="10">
        <v>199</v>
      </c>
      <c r="B200" s="10" t="s">
        <v>30</v>
      </c>
      <c r="C200" s="11">
        <v>67</v>
      </c>
      <c r="D200" s="10" t="s">
        <v>6</v>
      </c>
      <c r="E200" s="2">
        <v>70</v>
      </c>
      <c r="F200" s="10" t="s">
        <v>6</v>
      </c>
      <c r="G200" s="10" t="s">
        <v>1</v>
      </c>
      <c r="H200" s="11">
        <v>65</v>
      </c>
      <c r="I200" s="10" t="s">
        <v>0</v>
      </c>
      <c r="J200" s="10" t="s">
        <v>3</v>
      </c>
      <c r="K200" s="11">
        <v>88</v>
      </c>
      <c r="L200" s="10" t="s">
        <v>4</v>
      </c>
      <c r="M200" s="11">
        <v>71.959999999999994</v>
      </c>
      <c r="N200" s="11" t="str">
        <f t="shared" si="3"/>
        <v>First Class</v>
      </c>
      <c r="O200" s="10" t="s">
        <v>12</v>
      </c>
      <c r="P200" s="10" t="str">
        <f>IF(AND(Placement_Data_Full_Class!$J200="Yes",Placement_Data_Full_Class!$H200&gt;70%),"High Priority", "Standard")</f>
        <v>Standard</v>
      </c>
      <c r="Q200" s="12">
        <v>0</v>
      </c>
      <c r="R200" s="10">
        <f>IF(Placement_Data_Full_Class!$K200&gt;90,Placement_Data_Full_Class!$Q200+(Placement_Data_Full_Class!$Q200*5%),Placement_Data_Full_Class!$Q200)</f>
        <v>0</v>
      </c>
    </row>
    <row r="201" spans="1:18" x14ac:dyDescent="0.3">
      <c r="A201" s="13">
        <v>200</v>
      </c>
      <c r="B201" s="13" t="s">
        <v>29</v>
      </c>
      <c r="C201" s="14">
        <v>69</v>
      </c>
      <c r="D201" s="13" t="s">
        <v>0</v>
      </c>
      <c r="E201" s="3">
        <v>65</v>
      </c>
      <c r="F201" s="13" t="s">
        <v>0</v>
      </c>
      <c r="G201" s="13" t="s">
        <v>1</v>
      </c>
      <c r="H201" s="14">
        <v>57</v>
      </c>
      <c r="I201" s="13" t="s">
        <v>11</v>
      </c>
      <c r="J201" s="13" t="s">
        <v>3</v>
      </c>
      <c r="K201" s="14">
        <v>73</v>
      </c>
      <c r="L201" s="13" t="s">
        <v>4</v>
      </c>
      <c r="M201" s="14">
        <v>55.8</v>
      </c>
      <c r="N201" s="14" t="str">
        <f t="shared" si="3"/>
        <v>Pass</v>
      </c>
      <c r="O201" s="13" t="s">
        <v>5</v>
      </c>
      <c r="P201" s="13" t="str">
        <f>IF(AND(Placement_Data_Full_Class!$J201="Yes",Placement_Data_Full_Class!$H201&gt;70%),"High Priority", "Standard")</f>
        <v>Standard</v>
      </c>
      <c r="Q201" s="15">
        <v>265000</v>
      </c>
      <c r="R201" s="10">
        <f>IF(Placement_Data_Full_Class!$K201&gt;90,Placement_Data_Full_Class!$Q201+(Placement_Data_Full_Class!$Q201*5%),Placement_Data_Full_Class!$Q201)</f>
        <v>265000</v>
      </c>
    </row>
    <row r="202" spans="1:18" x14ac:dyDescent="0.3">
      <c r="A202" s="10">
        <v>201</v>
      </c>
      <c r="B202" s="10" t="s">
        <v>29</v>
      </c>
      <c r="C202" s="11">
        <v>69</v>
      </c>
      <c r="D202" s="10" t="s">
        <v>0</v>
      </c>
      <c r="E202" s="2">
        <v>60</v>
      </c>
      <c r="F202" s="10" t="s">
        <v>0</v>
      </c>
      <c r="G202" s="10" t="s">
        <v>1</v>
      </c>
      <c r="H202" s="11">
        <v>65</v>
      </c>
      <c r="I202" s="10" t="s">
        <v>11</v>
      </c>
      <c r="J202" s="10" t="s">
        <v>3</v>
      </c>
      <c r="K202" s="11">
        <v>87.55</v>
      </c>
      <c r="L202" s="10" t="s">
        <v>9</v>
      </c>
      <c r="M202" s="11">
        <v>52.81</v>
      </c>
      <c r="N202" s="11" t="str">
        <f t="shared" si="3"/>
        <v>Pass</v>
      </c>
      <c r="O202" s="10" t="s">
        <v>5</v>
      </c>
      <c r="P202" s="10" t="str">
        <f>IF(AND(Placement_Data_Full_Class!$J202="Yes",Placement_Data_Full_Class!$H202&gt;70%),"High Priority", "Standard")</f>
        <v>Standard</v>
      </c>
      <c r="Q202" s="12">
        <v>300000</v>
      </c>
      <c r="R202" s="10">
        <f>IF(Placement_Data_Full_Class!$K202&gt;90,Placement_Data_Full_Class!$Q202+(Placement_Data_Full_Class!$Q202*5%),Placement_Data_Full_Class!$Q202)</f>
        <v>300000</v>
      </c>
    </row>
    <row r="203" spans="1:18" x14ac:dyDescent="0.3">
      <c r="A203" s="10">
        <v>202</v>
      </c>
      <c r="B203" s="10" t="s">
        <v>29</v>
      </c>
      <c r="C203" s="11">
        <v>54.2</v>
      </c>
      <c r="D203" s="10" t="s">
        <v>6</v>
      </c>
      <c r="E203" s="2">
        <v>63</v>
      </c>
      <c r="F203" s="10" t="s">
        <v>0</v>
      </c>
      <c r="G203" s="10" t="s">
        <v>7</v>
      </c>
      <c r="H203" s="11">
        <v>58</v>
      </c>
      <c r="I203" s="10" t="s">
        <v>11</v>
      </c>
      <c r="J203" s="10" t="s">
        <v>3</v>
      </c>
      <c r="K203" s="11">
        <v>79</v>
      </c>
      <c r="L203" s="10" t="s">
        <v>4</v>
      </c>
      <c r="M203" s="11">
        <v>58.44</v>
      </c>
      <c r="N203" s="11" t="str">
        <f t="shared" si="3"/>
        <v>Pass</v>
      </c>
      <c r="O203" s="13" t="s">
        <v>12</v>
      </c>
      <c r="P203" s="13" t="str">
        <f>IF(AND(Placement_Data_Full_Class!$J203="Yes",Placement_Data_Full_Class!$H203&gt;70%),"High Priority", "Standard")</f>
        <v>Standard</v>
      </c>
      <c r="Q203" s="12">
        <v>0</v>
      </c>
      <c r="R203" s="10">
        <f>IF(Placement_Data_Full_Class!$K203&gt;90,Placement_Data_Full_Class!$Q203+(Placement_Data_Full_Class!$Q203*5%),Placement_Data_Full_Class!$Q203)</f>
        <v>0</v>
      </c>
    </row>
    <row r="204" spans="1:18" x14ac:dyDescent="0.3">
      <c r="A204" s="10">
        <v>203</v>
      </c>
      <c r="B204" s="10" t="s">
        <v>29</v>
      </c>
      <c r="C204" s="11">
        <v>70</v>
      </c>
      <c r="D204" s="10" t="s">
        <v>6</v>
      </c>
      <c r="E204" s="2">
        <v>63</v>
      </c>
      <c r="F204" s="10" t="s">
        <v>6</v>
      </c>
      <c r="G204" s="10" t="s">
        <v>7</v>
      </c>
      <c r="H204" s="11">
        <v>66</v>
      </c>
      <c r="I204" s="10" t="s">
        <v>2</v>
      </c>
      <c r="J204" s="10" t="s">
        <v>3</v>
      </c>
      <c r="K204" s="11">
        <v>61.28</v>
      </c>
      <c r="L204" s="10" t="s">
        <v>4</v>
      </c>
      <c r="M204" s="11">
        <v>60.11</v>
      </c>
      <c r="N204" s="11" t="str">
        <f t="shared" si="3"/>
        <v>First Class</v>
      </c>
      <c r="O204" s="10" t="s">
        <v>5</v>
      </c>
      <c r="P204" s="10" t="str">
        <f>IF(AND(Placement_Data_Full_Class!$J204="Yes",Placement_Data_Full_Class!$H204&gt;70%),"High Priority", "Standard")</f>
        <v>Standard</v>
      </c>
      <c r="Q204" s="12">
        <v>240000</v>
      </c>
      <c r="R204" s="10">
        <f>IF(Placement_Data_Full_Class!$K204&gt;90,Placement_Data_Full_Class!$Q204+(Placement_Data_Full_Class!$Q204*5%),Placement_Data_Full_Class!$Q204)</f>
        <v>240000</v>
      </c>
    </row>
    <row r="205" spans="1:18" x14ac:dyDescent="0.3">
      <c r="A205" s="13">
        <v>204</v>
      </c>
      <c r="B205" s="13" t="s">
        <v>29</v>
      </c>
      <c r="C205" s="14">
        <v>55.68</v>
      </c>
      <c r="D205" s="13" t="s">
        <v>0</v>
      </c>
      <c r="E205" s="3">
        <v>61.33</v>
      </c>
      <c r="F205" s="13" t="s">
        <v>0</v>
      </c>
      <c r="G205" s="13" t="s">
        <v>1</v>
      </c>
      <c r="H205" s="14">
        <v>56.87</v>
      </c>
      <c r="I205" s="13" t="s">
        <v>11</v>
      </c>
      <c r="J205" s="13" t="s">
        <v>3</v>
      </c>
      <c r="K205" s="14">
        <v>66</v>
      </c>
      <c r="L205" s="13" t="s">
        <v>4</v>
      </c>
      <c r="M205" s="14">
        <v>58.3</v>
      </c>
      <c r="N205" s="14" t="str">
        <f t="shared" si="3"/>
        <v>Pass</v>
      </c>
      <c r="O205" s="13" t="s">
        <v>5</v>
      </c>
      <c r="P205" s="13" t="str">
        <f>IF(AND(Placement_Data_Full_Class!$J205="Yes",Placement_Data_Full_Class!$H205&gt;70%),"High Priority", "Standard")</f>
        <v>Standard</v>
      </c>
      <c r="Q205" s="15">
        <v>260000</v>
      </c>
      <c r="R205" s="10">
        <f>IF(Placement_Data_Full_Class!$K205&gt;90,Placement_Data_Full_Class!$Q205+(Placement_Data_Full_Class!$Q205*5%),Placement_Data_Full_Class!$Q205)</f>
        <v>260000</v>
      </c>
    </row>
    <row r="206" spans="1:18" x14ac:dyDescent="0.3">
      <c r="A206" s="10">
        <v>205</v>
      </c>
      <c r="B206" s="10" t="s">
        <v>30</v>
      </c>
      <c r="C206" s="11">
        <v>74</v>
      </c>
      <c r="D206" s="10" t="s">
        <v>0</v>
      </c>
      <c r="E206" s="2">
        <v>73</v>
      </c>
      <c r="F206" s="10" t="s">
        <v>0</v>
      </c>
      <c r="G206" s="10" t="s">
        <v>1</v>
      </c>
      <c r="H206" s="11">
        <v>73</v>
      </c>
      <c r="I206" s="10" t="s">
        <v>11</v>
      </c>
      <c r="J206" s="10" t="s">
        <v>8</v>
      </c>
      <c r="K206" s="11">
        <v>80</v>
      </c>
      <c r="L206" s="10" t="s">
        <v>9</v>
      </c>
      <c r="M206" s="11">
        <v>67.69</v>
      </c>
      <c r="N206" s="11" t="str">
        <f t="shared" si="3"/>
        <v>First Class</v>
      </c>
      <c r="O206" s="10" t="s">
        <v>5</v>
      </c>
      <c r="P206" s="10" t="str">
        <f>IF(AND(Placement_Data_Full_Class!$J206="Yes",Placement_Data_Full_Class!$H206&gt;70%),"High Priority", "Standard")</f>
        <v>High Priority</v>
      </c>
      <c r="Q206" s="12">
        <v>210000</v>
      </c>
      <c r="R206" s="10">
        <f>IF(Placement_Data_Full_Class!$K206&gt;90,Placement_Data_Full_Class!$Q206+(Placement_Data_Full_Class!$Q206*5%),Placement_Data_Full_Class!$Q206)</f>
        <v>210000</v>
      </c>
    </row>
    <row r="207" spans="1:18" x14ac:dyDescent="0.3">
      <c r="A207" s="10">
        <v>206</v>
      </c>
      <c r="B207" s="10" t="s">
        <v>29</v>
      </c>
      <c r="C207" s="11">
        <v>61</v>
      </c>
      <c r="D207" s="10" t="s">
        <v>0</v>
      </c>
      <c r="E207" s="2">
        <v>62</v>
      </c>
      <c r="F207" s="10" t="s">
        <v>0</v>
      </c>
      <c r="G207" s="10" t="s">
        <v>1</v>
      </c>
      <c r="H207" s="11">
        <v>65</v>
      </c>
      <c r="I207" s="10" t="s">
        <v>11</v>
      </c>
      <c r="J207" s="10" t="s">
        <v>3</v>
      </c>
      <c r="K207" s="11">
        <v>62</v>
      </c>
      <c r="L207" s="10" t="s">
        <v>9</v>
      </c>
      <c r="M207" s="11">
        <v>56.81</v>
      </c>
      <c r="N207" s="11" t="str">
        <f t="shared" si="3"/>
        <v>Pass</v>
      </c>
      <c r="O207" s="13" t="s">
        <v>5</v>
      </c>
      <c r="P207" s="13" t="str">
        <f>IF(AND(Placement_Data_Full_Class!$J207="Yes",Placement_Data_Full_Class!$H207&gt;70%),"High Priority", "Standard")</f>
        <v>Standard</v>
      </c>
      <c r="Q207" s="12">
        <v>250000</v>
      </c>
      <c r="R207" s="10">
        <f>IF(Placement_Data_Full_Class!$K207&gt;90,Placement_Data_Full_Class!$Q207+(Placement_Data_Full_Class!$Q207*5%),Placement_Data_Full_Class!$Q207)</f>
        <v>250000</v>
      </c>
    </row>
    <row r="208" spans="1:18" x14ac:dyDescent="0.3">
      <c r="A208" s="10">
        <v>207</v>
      </c>
      <c r="B208" s="10" t="s">
        <v>29</v>
      </c>
      <c r="C208" s="11">
        <v>41</v>
      </c>
      <c r="D208" s="10" t="s">
        <v>6</v>
      </c>
      <c r="E208" s="2">
        <v>42</v>
      </c>
      <c r="F208" s="10" t="s">
        <v>6</v>
      </c>
      <c r="G208" s="10" t="s">
        <v>7</v>
      </c>
      <c r="H208" s="11">
        <v>60</v>
      </c>
      <c r="I208" s="10" t="s">
        <v>11</v>
      </c>
      <c r="J208" s="10" t="s">
        <v>3</v>
      </c>
      <c r="K208" s="11">
        <v>97</v>
      </c>
      <c r="L208" s="10" t="s">
        <v>9</v>
      </c>
      <c r="M208" s="11">
        <v>53.39</v>
      </c>
      <c r="N208" s="11" t="str">
        <f t="shared" si="3"/>
        <v>Pass</v>
      </c>
      <c r="O208" s="10" t="s">
        <v>12</v>
      </c>
      <c r="P208" s="10" t="str">
        <f>IF(AND(Placement_Data_Full_Class!$J208="Yes",Placement_Data_Full_Class!$H208&gt;70%),"High Priority", "Standard")</f>
        <v>Standard</v>
      </c>
      <c r="Q208" s="12">
        <v>0</v>
      </c>
      <c r="R208" s="10">
        <f>IF(Placement_Data_Full_Class!$K208&gt;90,Placement_Data_Full_Class!$Q208+(Placement_Data_Full_Class!$Q208*5%),Placement_Data_Full_Class!$Q208)</f>
        <v>0</v>
      </c>
    </row>
    <row r="209" spans="1:18" x14ac:dyDescent="0.3">
      <c r="A209" s="10">
        <v>208</v>
      </c>
      <c r="B209" s="10" t="s">
        <v>29</v>
      </c>
      <c r="C209" s="11">
        <v>83.33</v>
      </c>
      <c r="D209" s="10" t="s">
        <v>6</v>
      </c>
      <c r="E209" s="2">
        <v>78</v>
      </c>
      <c r="F209" s="10" t="s">
        <v>0</v>
      </c>
      <c r="G209" s="10" t="s">
        <v>1</v>
      </c>
      <c r="H209" s="11">
        <v>61</v>
      </c>
      <c r="I209" s="10" t="s">
        <v>11</v>
      </c>
      <c r="J209" s="10" t="s">
        <v>8</v>
      </c>
      <c r="K209" s="11">
        <v>88.56</v>
      </c>
      <c r="L209" s="10" t="s">
        <v>9</v>
      </c>
      <c r="M209" s="11">
        <v>71.55</v>
      </c>
      <c r="N209" s="11" t="str">
        <f t="shared" si="3"/>
        <v>First Class</v>
      </c>
      <c r="O209" s="13" t="s">
        <v>5</v>
      </c>
      <c r="P209" s="13" t="str">
        <f>IF(AND(Placement_Data_Full_Class!$J209="Yes",Placement_Data_Full_Class!$H209&gt;70%),"High Priority", "Standard")</f>
        <v>High Priority</v>
      </c>
      <c r="Q209" s="12">
        <v>300000</v>
      </c>
      <c r="R209" s="10">
        <f>IF(Placement_Data_Full_Class!$K209&gt;90,Placement_Data_Full_Class!$Q209+(Placement_Data_Full_Class!$Q209*5%),Placement_Data_Full_Class!$Q209)</f>
        <v>300000</v>
      </c>
    </row>
    <row r="210" spans="1:18" x14ac:dyDescent="0.3">
      <c r="A210" s="10">
        <v>209</v>
      </c>
      <c r="B210" s="10" t="s">
        <v>30</v>
      </c>
      <c r="C210" s="11">
        <v>43</v>
      </c>
      <c r="D210" s="10" t="s">
        <v>6</v>
      </c>
      <c r="E210" s="2">
        <v>60</v>
      </c>
      <c r="F210" s="10" t="s">
        <v>0</v>
      </c>
      <c r="G210" s="10" t="s">
        <v>7</v>
      </c>
      <c r="H210" s="11">
        <v>65</v>
      </c>
      <c r="I210" s="10" t="s">
        <v>11</v>
      </c>
      <c r="J210" s="10" t="s">
        <v>3</v>
      </c>
      <c r="K210" s="11">
        <v>92.66</v>
      </c>
      <c r="L210" s="10" t="s">
        <v>4</v>
      </c>
      <c r="M210" s="11">
        <v>62.92</v>
      </c>
      <c r="N210" s="11" t="str">
        <f t="shared" si="3"/>
        <v>First Class</v>
      </c>
      <c r="O210" s="10" t="s">
        <v>12</v>
      </c>
      <c r="P210" s="10" t="str">
        <f>IF(AND(Placement_Data_Full_Class!$J210="Yes",Placement_Data_Full_Class!$H210&gt;70%),"High Priority", "Standard")</f>
        <v>Standard</v>
      </c>
      <c r="Q210" s="12">
        <v>0</v>
      </c>
      <c r="R210" s="10">
        <f>IF(Placement_Data_Full_Class!$K210&gt;90,Placement_Data_Full_Class!$Q210+(Placement_Data_Full_Class!$Q210*5%),Placement_Data_Full_Class!$Q210)</f>
        <v>0</v>
      </c>
    </row>
    <row r="211" spans="1:18" x14ac:dyDescent="0.3">
      <c r="A211" s="10">
        <v>210</v>
      </c>
      <c r="B211" s="10" t="s">
        <v>29</v>
      </c>
      <c r="C211" s="11">
        <v>62</v>
      </c>
      <c r="D211" s="10" t="s">
        <v>6</v>
      </c>
      <c r="E211" s="2">
        <v>72</v>
      </c>
      <c r="F211" s="10" t="s">
        <v>6</v>
      </c>
      <c r="G211" s="10" t="s">
        <v>1</v>
      </c>
      <c r="H211" s="11">
        <v>65</v>
      </c>
      <c r="I211" s="10" t="s">
        <v>11</v>
      </c>
      <c r="J211" s="10" t="s">
        <v>3</v>
      </c>
      <c r="K211" s="11">
        <v>67</v>
      </c>
      <c r="L211" s="10" t="s">
        <v>9</v>
      </c>
      <c r="M211" s="11">
        <v>56.49</v>
      </c>
      <c r="N211" s="11" t="str">
        <f t="shared" si="3"/>
        <v>Pass</v>
      </c>
      <c r="O211" s="13" t="s">
        <v>5</v>
      </c>
      <c r="P211" s="13" t="str">
        <f>IF(AND(Placement_Data_Full_Class!$J211="Yes",Placement_Data_Full_Class!$H211&gt;70%),"High Priority", "Standard")</f>
        <v>Standard</v>
      </c>
      <c r="Q211" s="12">
        <v>216000</v>
      </c>
      <c r="R211" s="10">
        <f>IF(Placement_Data_Full_Class!$K211&gt;90,Placement_Data_Full_Class!$Q211+(Placement_Data_Full_Class!$Q211*5%),Placement_Data_Full_Class!$Q211)</f>
        <v>216000</v>
      </c>
    </row>
    <row r="212" spans="1:18" x14ac:dyDescent="0.3">
      <c r="A212" s="10">
        <v>211</v>
      </c>
      <c r="B212" s="10" t="s">
        <v>29</v>
      </c>
      <c r="C212" s="11">
        <v>80.599999999999994</v>
      </c>
      <c r="D212" s="10" t="s">
        <v>0</v>
      </c>
      <c r="E212" s="2">
        <v>82</v>
      </c>
      <c r="F212" s="10" t="s">
        <v>0</v>
      </c>
      <c r="G212" s="10" t="s">
        <v>1</v>
      </c>
      <c r="H212" s="11">
        <v>77.599999999999994</v>
      </c>
      <c r="I212" s="10" t="s">
        <v>11</v>
      </c>
      <c r="J212" s="10" t="s">
        <v>3</v>
      </c>
      <c r="K212" s="11">
        <v>91</v>
      </c>
      <c r="L212" s="10" t="s">
        <v>9</v>
      </c>
      <c r="M212" s="11">
        <v>74.489999999999995</v>
      </c>
      <c r="N212" s="11" t="str">
        <f t="shared" si="3"/>
        <v>First Class</v>
      </c>
      <c r="O212" s="10" t="s">
        <v>5</v>
      </c>
      <c r="P212" s="10" t="str">
        <f>IF(AND(Placement_Data_Full_Class!$J212="Yes",Placement_Data_Full_Class!$H212&gt;70%),"High Priority", "Standard")</f>
        <v>Standard</v>
      </c>
      <c r="Q212" s="12">
        <v>400000</v>
      </c>
      <c r="R212" s="10">
        <f>IF(Placement_Data_Full_Class!$K212&gt;90,Placement_Data_Full_Class!$Q212+(Placement_Data_Full_Class!$Q212*5%),Placement_Data_Full_Class!$Q212)</f>
        <v>420000</v>
      </c>
    </row>
    <row r="213" spans="1:18" x14ac:dyDescent="0.3">
      <c r="A213" s="13">
        <v>212</v>
      </c>
      <c r="B213" s="13" t="s">
        <v>29</v>
      </c>
      <c r="C213" s="14">
        <v>58</v>
      </c>
      <c r="D213" s="13" t="s">
        <v>0</v>
      </c>
      <c r="E213" s="3">
        <v>60</v>
      </c>
      <c r="F213" s="13" t="s">
        <v>0</v>
      </c>
      <c r="G213" s="13" t="s">
        <v>7</v>
      </c>
      <c r="H213" s="14">
        <v>72</v>
      </c>
      <c r="I213" s="13" t="s">
        <v>2</v>
      </c>
      <c r="J213" s="13" t="s">
        <v>3</v>
      </c>
      <c r="K213" s="14">
        <v>74</v>
      </c>
      <c r="L213" s="13" t="s">
        <v>9</v>
      </c>
      <c r="M213" s="14">
        <v>53.62</v>
      </c>
      <c r="N213" s="14" t="str">
        <f t="shared" si="3"/>
        <v>Pass</v>
      </c>
      <c r="O213" s="13" t="s">
        <v>5</v>
      </c>
      <c r="P213" s="13" t="str">
        <f>IF(AND(Placement_Data_Full_Class!$J213="Yes",Placement_Data_Full_Class!$H213&gt;70%),"High Priority", "Standard")</f>
        <v>Standard</v>
      </c>
      <c r="Q213" s="15">
        <v>275000</v>
      </c>
      <c r="R213" s="10">
        <f>IF(Placement_Data_Full_Class!$K213&gt;90,Placement_Data_Full_Class!$Q213+(Placement_Data_Full_Class!$Q213*5%),Placement_Data_Full_Class!$Q213)</f>
        <v>275000</v>
      </c>
    </row>
    <row r="214" spans="1:18" x14ac:dyDescent="0.3">
      <c r="A214" s="10">
        <v>213</v>
      </c>
      <c r="B214" s="10" t="s">
        <v>29</v>
      </c>
      <c r="C214" s="11">
        <v>67</v>
      </c>
      <c r="D214" s="10" t="s">
        <v>0</v>
      </c>
      <c r="E214" s="2">
        <v>67</v>
      </c>
      <c r="F214" s="10" t="s">
        <v>0</v>
      </c>
      <c r="G214" s="10" t="s">
        <v>1</v>
      </c>
      <c r="H214" s="11">
        <v>73</v>
      </c>
      <c r="I214" s="10" t="s">
        <v>11</v>
      </c>
      <c r="J214" s="10" t="s">
        <v>8</v>
      </c>
      <c r="K214" s="11">
        <v>59</v>
      </c>
      <c r="L214" s="10" t="s">
        <v>9</v>
      </c>
      <c r="M214" s="11">
        <v>69.72</v>
      </c>
      <c r="N214" s="11" t="str">
        <f t="shared" si="3"/>
        <v>First Class</v>
      </c>
      <c r="O214" s="10" t="s">
        <v>5</v>
      </c>
      <c r="P214" s="10" t="str">
        <f>IF(AND(Placement_Data_Full_Class!$J214="Yes",Placement_Data_Full_Class!$H214&gt;70%),"High Priority", "Standard")</f>
        <v>High Priority</v>
      </c>
      <c r="Q214" s="12">
        <v>295000</v>
      </c>
      <c r="R214" s="10">
        <f>IF(Placement_Data_Full_Class!$K214&gt;90,Placement_Data_Full_Class!$Q214+(Placement_Data_Full_Class!$Q214*5%),Placement_Data_Full_Class!$Q214)</f>
        <v>295000</v>
      </c>
    </row>
    <row r="215" spans="1:18" x14ac:dyDescent="0.3">
      <c r="A215" s="13">
        <v>214</v>
      </c>
      <c r="B215" s="13" t="s">
        <v>30</v>
      </c>
      <c r="C215" s="14">
        <v>74</v>
      </c>
      <c r="D215" s="13" t="s">
        <v>0</v>
      </c>
      <c r="E215" s="3">
        <v>66</v>
      </c>
      <c r="F215" s="13" t="s">
        <v>0</v>
      </c>
      <c r="G215" s="13" t="s">
        <v>1</v>
      </c>
      <c r="H215" s="14">
        <v>58</v>
      </c>
      <c r="I215" s="13" t="s">
        <v>11</v>
      </c>
      <c r="J215" s="13" t="s">
        <v>3</v>
      </c>
      <c r="K215" s="14">
        <v>70</v>
      </c>
      <c r="L215" s="13" t="s">
        <v>4</v>
      </c>
      <c r="M215" s="14">
        <v>60.23</v>
      </c>
      <c r="N215" s="14" t="str">
        <f t="shared" si="3"/>
        <v>First Class</v>
      </c>
      <c r="O215" s="13" t="s">
        <v>5</v>
      </c>
      <c r="P215" s="13" t="str">
        <f>IF(AND(Placement_Data_Full_Class!$J215="Yes",Placement_Data_Full_Class!$H215&gt;70%),"High Priority", "Standard")</f>
        <v>Standard</v>
      </c>
      <c r="Q215" s="15">
        <v>204000</v>
      </c>
      <c r="R215" s="10">
        <f>IF(Placement_Data_Full_Class!$K215&gt;90,Placement_Data_Full_Class!$Q215+(Placement_Data_Full_Class!$Q215*5%),Placement_Data_Full_Class!$Q215)</f>
        <v>204000</v>
      </c>
    </row>
    <row r="216" spans="1:18" x14ac:dyDescent="0.3">
      <c r="A216" s="10">
        <v>215</v>
      </c>
      <c r="B216" s="10" t="s">
        <v>29</v>
      </c>
      <c r="C216" s="11">
        <v>62</v>
      </c>
      <c r="D216" s="10" t="s">
        <v>6</v>
      </c>
      <c r="E216" s="2">
        <v>58</v>
      </c>
      <c r="F216" s="10" t="s">
        <v>0</v>
      </c>
      <c r="G216" s="10" t="s">
        <v>7</v>
      </c>
      <c r="H216" s="11">
        <v>53</v>
      </c>
      <c r="I216" s="10" t="s">
        <v>11</v>
      </c>
      <c r="J216" s="10" t="s">
        <v>3</v>
      </c>
      <c r="K216" s="11">
        <v>89</v>
      </c>
      <c r="L216" s="10" t="s">
        <v>4</v>
      </c>
      <c r="M216" s="11">
        <v>60.22</v>
      </c>
      <c r="N216" s="11" t="str">
        <f t="shared" si="3"/>
        <v>First Class</v>
      </c>
      <c r="O216" s="10" t="s">
        <v>12</v>
      </c>
      <c r="P216" s="10" t="str">
        <f>IF(AND(Placement_Data_Full_Class!$J216="Yes",Placement_Data_Full_Class!$H216&gt;70%),"High Priority", "Standard")</f>
        <v>Standard</v>
      </c>
      <c r="Q216" s="12">
        <v>0</v>
      </c>
      <c r="R216" s="10">
        <f>IF(Placement_Data_Full_Class!$K216&gt;90,Placement_Data_Full_Class!$Q216+(Placement_Data_Full_Class!$Q216*5%),Placement_Data_Full_Class!$Q216)</f>
        <v>0</v>
      </c>
    </row>
  </sheetData>
  <conditionalFormatting sqref="O2:P216">
    <cfRule type="cellIs" dxfId="10" priority="6" operator="equal">
      <formula>"Placed"</formula>
    </cfRule>
  </conditionalFormatting>
  <conditionalFormatting sqref="O5:P216">
    <cfRule type="cellIs" dxfId="9" priority="5" operator="equal">
      <formula>"Not Placed"</formula>
    </cfRule>
  </conditionalFormatting>
  <conditionalFormatting sqref="P2:P216">
    <cfRule type="cellIs" dxfId="8" priority="3" operator="equal">
      <formula>"High Priority"</formula>
    </cfRule>
  </conditionalFormatting>
  <conditionalFormatting sqref="Q2:Q216">
    <cfRule type="top10" dxfId="7" priority="4" percent="1" rank="10"/>
  </conditionalFormatting>
  <conditionalFormatting sqref="N1:N1048576">
    <cfRule type="containsText" dxfId="0" priority="2" operator="containsText" text="First Class">
      <formula>NOT(ISERROR(SEARCH("First Class",N1)))</formula>
    </cfRule>
    <cfRule type="containsText" dxfId="1" priority="1" operator="containsText" text="Distinction">
      <formula>NOT(ISERROR(SEARCH("Distinction",N1)))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FFAD9-5D86-4312-B4B6-4936C924F6CD}">
  <dimension ref="A1:E33"/>
  <sheetViews>
    <sheetView showGridLines="0" tabSelected="1" zoomScale="55" zoomScaleNormal="55" workbookViewId="0">
      <selection activeCell="AA21" sqref="AA21"/>
    </sheetView>
  </sheetViews>
  <sheetFormatPr defaultRowHeight="16.8" x14ac:dyDescent="0.3"/>
  <cols>
    <col min="1" max="1" width="28" customWidth="1"/>
    <col min="2" max="2" width="14.36328125" customWidth="1"/>
    <col min="3" max="3" width="12" bestFit="1" customWidth="1"/>
    <col min="4" max="4" width="14.453125" bestFit="1" customWidth="1"/>
  </cols>
  <sheetData>
    <row r="1" spans="1:5" x14ac:dyDescent="0.3">
      <c r="A1" s="16" t="s">
        <v>31</v>
      </c>
      <c r="B1" s="4" t="s">
        <v>4</v>
      </c>
      <c r="C1" s="4" t="s">
        <v>9</v>
      </c>
      <c r="D1" s="20"/>
      <c r="E1" s="20"/>
    </row>
    <row r="2" spans="1:5" ht="51.6" customHeight="1" x14ac:dyDescent="0.3">
      <c r="A2" s="16"/>
      <c r="B2" s="4">
        <f>COUNTIF(Placement_Data_Full_Class!$L$2:$L$216,"Mkt&amp;Hr")</f>
        <v>95</v>
      </c>
      <c r="C2" s="4">
        <f>COUNTIF(Placement_Data_Full_Class!$L$2:$L$216,"Mkt&amp;Fin")</f>
        <v>120</v>
      </c>
      <c r="D2" s="20"/>
      <c r="E2" s="20"/>
    </row>
    <row r="3" spans="1:5" ht="33.6" x14ac:dyDescent="0.3">
      <c r="A3" s="21" t="s">
        <v>32</v>
      </c>
      <c r="B3" s="22">
        <f>AVERAGEIF(Placement_Data_Full_Class!$J$2:$J$216,"Yes",Placement_Data_Full_Class!$Q$2:$Q$216)</f>
        <v>262283.78378378379</v>
      </c>
      <c r="C3" s="20"/>
      <c r="D3" s="20"/>
      <c r="E3" s="20"/>
    </row>
    <row r="4" spans="1:5" x14ac:dyDescent="0.3">
      <c r="A4" s="20"/>
      <c r="B4" s="20"/>
      <c r="C4" s="20"/>
      <c r="D4" s="20"/>
      <c r="E4" s="20"/>
    </row>
    <row r="5" spans="1:5" ht="50.4" x14ac:dyDescent="0.3">
      <c r="A5" s="21" t="s">
        <v>33</v>
      </c>
      <c r="B5" s="20">
        <f>COUNTIFS(Placement_Data_Full_Class!$C$2:$C$216,"&gt;=80",Placement_Data_Full_Class!$E$2:$E$216,"&gt;=80",Placement_Data_Full_Class!$B$2:$B$216,"Male")</f>
        <v>5</v>
      </c>
      <c r="C5" s="20"/>
      <c r="D5" s="20"/>
      <c r="E5" s="20"/>
    </row>
    <row r="6" spans="1:5" x14ac:dyDescent="0.3">
      <c r="A6" s="20"/>
      <c r="B6" s="20"/>
      <c r="C6" s="20"/>
      <c r="D6" s="20"/>
      <c r="E6" s="20"/>
    </row>
    <row r="7" spans="1:5" ht="50.4" x14ac:dyDescent="0.3">
      <c r="A7" s="21" t="s">
        <v>34</v>
      </c>
      <c r="B7" s="23">
        <f>SUMIFS(Placement_Data_Full_Class!Q2:Q215,Placement_Data_Full_Class!F2:F215,"Central",Placement_Data_Full_Class!O2:O215,"Placed")</f>
        <v>16504000</v>
      </c>
      <c r="C7" s="20"/>
      <c r="D7" s="20"/>
      <c r="E7" s="20"/>
    </row>
    <row r="8" spans="1:5" x14ac:dyDescent="0.3">
      <c r="A8" s="21"/>
      <c r="B8" s="23"/>
      <c r="C8" s="20"/>
      <c r="D8" s="20"/>
      <c r="E8" s="20"/>
    </row>
    <row r="9" spans="1:5" ht="22.8" x14ac:dyDescent="0.4">
      <c r="A9" s="24" t="s">
        <v>64</v>
      </c>
      <c r="B9" s="20"/>
      <c r="C9" s="20"/>
      <c r="D9" s="20"/>
      <c r="E9" s="20"/>
    </row>
    <row r="10" spans="1:5" x14ac:dyDescent="0.3">
      <c r="A10" s="4" t="str">
        <f>Placement_Data_Full_Class!A1</f>
        <v>Sl_No</v>
      </c>
      <c r="B10" s="4" t="str">
        <f>Placement_Data_Full_Class!I1</f>
        <v>Degree_T</v>
      </c>
      <c r="C10" s="4" t="str">
        <f>Placement_Data_Full_Class!O1</f>
        <v>Status</v>
      </c>
      <c r="D10" s="20"/>
      <c r="E10" s="20"/>
    </row>
    <row r="11" spans="1:5" x14ac:dyDescent="0.3">
      <c r="A11" s="4">
        <v>85</v>
      </c>
      <c r="B11" s="4" t="str">
        <f>VLOOKUP(A11,Placement_Data_Full_Class!A2:Q216,MATCH(B10,Placement_Data_Full_Class!$A$1:$R$1,0),0)</f>
        <v>Sci&amp;Tech</v>
      </c>
      <c r="C11" s="4" t="str">
        <f>VLOOKUP(A11,Placement_Data_Full_Class!A2:Q216,MATCH(C10,Placement_Data_Full_Class!$A$1:$R$1,0),0)</f>
        <v>Placed</v>
      </c>
      <c r="D11" s="20"/>
      <c r="E11" s="20"/>
    </row>
    <row r="12" spans="1:5" x14ac:dyDescent="0.3">
      <c r="A12" s="20"/>
      <c r="B12" s="20"/>
      <c r="C12" s="20"/>
      <c r="D12" s="20"/>
      <c r="E12" s="20"/>
    </row>
    <row r="13" spans="1:5" x14ac:dyDescent="0.3">
      <c r="A13" s="25" t="s">
        <v>35</v>
      </c>
      <c r="B13" s="20"/>
      <c r="C13" s="20"/>
      <c r="D13" s="20"/>
      <c r="E13" s="20"/>
    </row>
    <row r="14" spans="1:5" x14ac:dyDescent="0.3">
      <c r="A14" s="20" t="s">
        <v>9</v>
      </c>
      <c r="B14" s="20">
        <f>_xlfn.MAXIFS(Placement_Data_Full_Class!$Q$2:$Q$216,Placement_Data_Full_Class!$L$2:$L$216,Data_insights!A14)</f>
        <v>940000</v>
      </c>
      <c r="C14" s="20"/>
      <c r="D14" s="20"/>
      <c r="E14" s="20"/>
    </row>
    <row r="15" spans="1:5" x14ac:dyDescent="0.3">
      <c r="A15" s="20"/>
      <c r="B15" s="20"/>
      <c r="C15" s="20"/>
      <c r="D15" s="20"/>
      <c r="E15" s="20"/>
    </row>
    <row r="16" spans="1:5" ht="22.8" x14ac:dyDescent="0.4">
      <c r="A16" s="24" t="s">
        <v>65</v>
      </c>
      <c r="B16" s="20"/>
      <c r="C16" s="20"/>
      <c r="D16" s="20"/>
      <c r="E16" s="20"/>
    </row>
    <row r="17" spans="1:5" x14ac:dyDescent="0.3">
      <c r="A17" s="4" t="s">
        <v>13</v>
      </c>
      <c r="B17" s="4" t="s">
        <v>20</v>
      </c>
      <c r="C17" s="4" t="s">
        <v>41</v>
      </c>
      <c r="D17" s="20"/>
      <c r="E17" s="20"/>
    </row>
    <row r="18" spans="1:5" x14ac:dyDescent="0.3">
      <c r="A18" s="4">
        <v>85</v>
      </c>
      <c r="B18" s="4" t="str">
        <f>_xlfn.XLOOKUP(A18,Placement_Data_Full_Class!$A$2:$A$216,Placement_Data_Full_Class!$I$2:$I$216,"Details not found in table")</f>
        <v>Sci&amp;Tech</v>
      </c>
      <c r="C18" s="4" t="str">
        <f>_xlfn.XLOOKUP(A18,Placement_Data_Full_Class!$A$2:$A$216,Placement_Data_Full_Class!$P$2:$P$216,"Details not found in table")</f>
        <v>High Priority</v>
      </c>
      <c r="D18" s="20"/>
      <c r="E18" s="20"/>
    </row>
    <row r="19" spans="1:5" x14ac:dyDescent="0.3">
      <c r="A19" s="20"/>
      <c r="B19" s="20"/>
      <c r="C19" s="20"/>
      <c r="D19" s="20"/>
      <c r="E19" s="20"/>
    </row>
    <row r="20" spans="1:5" ht="22.8" x14ac:dyDescent="0.4">
      <c r="A20" s="24" t="s">
        <v>66</v>
      </c>
      <c r="B20" s="20"/>
      <c r="C20" s="20"/>
      <c r="D20" s="20"/>
      <c r="E20" s="20"/>
    </row>
    <row r="21" spans="1:5" x14ac:dyDescent="0.3">
      <c r="A21" s="4" t="s">
        <v>13</v>
      </c>
      <c r="B21" s="4" t="s">
        <v>20</v>
      </c>
      <c r="C21" s="4" t="s">
        <v>23</v>
      </c>
      <c r="D21" s="4" t="s">
        <v>26</v>
      </c>
      <c r="E21" s="20"/>
    </row>
    <row r="22" spans="1:5" x14ac:dyDescent="0.3">
      <c r="A22" s="4">
        <v>120</v>
      </c>
      <c r="B22" s="4" t="str">
        <f>IFERROR(INDEX(Placement_Data_Full_Class!$A$1:$R$216,MATCH($A$22,Placement_Data_Full_Class!$A$1:$A$216,0),MATCH(Data_insights!B21,Placement_Data_Full_Class!$A$1:$R$1,0)),"Entered details are not in the table")</f>
        <v>Comm&amp;Mgmt</v>
      </c>
      <c r="C22" s="4" t="str">
        <f>IFERROR(INDEX(Placement_Data_Full_Class!$A$1:$R$216,MATCH($A$22,Placement_Data_Full_Class!$A$1:$A$216,0),MATCH(Data_insights!C21,Placement_Data_Full_Class!$A$1:$R$1,0)),"Entered details are not in the table")</f>
        <v>Mkt&amp;Fin</v>
      </c>
      <c r="D22" s="4">
        <f>IFERROR(INDEX(Placement_Data_Full_Class!$A$1:$R$216,MATCH($A$22,Placement_Data_Full_Class!$A$1:$A$216,0),MATCH(Data_insights!D21,Placement_Data_Full_Class!$A$1:$R$1,0)),"Entered details are not in the table")</f>
        <v>940000</v>
      </c>
      <c r="E22" s="20"/>
    </row>
    <row r="23" spans="1:5" x14ac:dyDescent="0.3">
      <c r="A23" s="20" t="s">
        <v>67</v>
      </c>
      <c r="B23" s="20"/>
      <c r="C23" s="20"/>
      <c r="D23" s="20"/>
      <c r="E23" s="20"/>
    </row>
    <row r="24" spans="1:5" x14ac:dyDescent="0.3">
      <c r="A24" s="20"/>
      <c r="B24" s="20"/>
      <c r="C24" s="20"/>
      <c r="D24" s="20"/>
      <c r="E24" s="20"/>
    </row>
    <row r="25" spans="1:5" x14ac:dyDescent="0.3">
      <c r="A25" s="20"/>
      <c r="B25" s="20"/>
      <c r="C25" s="20"/>
      <c r="D25" s="20"/>
      <c r="E25" s="20"/>
    </row>
    <row r="26" spans="1:5" x14ac:dyDescent="0.3">
      <c r="A26" s="20"/>
      <c r="B26" s="20"/>
      <c r="C26" s="20"/>
      <c r="D26" s="20"/>
      <c r="E26" s="20"/>
    </row>
    <row r="27" spans="1:5" x14ac:dyDescent="0.3">
      <c r="A27" s="20"/>
      <c r="B27" s="20"/>
      <c r="C27" s="20"/>
      <c r="D27" s="20"/>
      <c r="E27" s="20"/>
    </row>
    <row r="28" spans="1:5" x14ac:dyDescent="0.3">
      <c r="A28" s="20"/>
      <c r="B28" s="20"/>
      <c r="C28" s="20"/>
      <c r="D28" s="20"/>
      <c r="E28" s="20"/>
    </row>
    <row r="29" spans="1:5" x14ac:dyDescent="0.3">
      <c r="A29" s="20"/>
      <c r="B29" s="20"/>
      <c r="C29" s="20"/>
      <c r="D29" s="20"/>
      <c r="E29" s="20"/>
    </row>
    <row r="30" spans="1:5" x14ac:dyDescent="0.3">
      <c r="A30" s="20"/>
      <c r="B30" s="20"/>
      <c r="C30" s="20"/>
      <c r="D30" s="20"/>
      <c r="E30" s="20"/>
    </row>
    <row r="31" spans="1:5" x14ac:dyDescent="0.3">
      <c r="A31" s="20"/>
      <c r="B31" s="20"/>
      <c r="C31" s="20"/>
      <c r="D31" s="20"/>
      <c r="E31" s="20"/>
    </row>
    <row r="32" spans="1:5" x14ac:dyDescent="0.3">
      <c r="A32" s="20"/>
      <c r="B32" s="20"/>
      <c r="C32" s="20"/>
      <c r="D32" s="20"/>
      <c r="E32" s="20"/>
    </row>
    <row r="33" spans="1:5" x14ac:dyDescent="0.3">
      <c r="A33" s="26"/>
      <c r="B33" s="26"/>
      <c r="C33" s="26"/>
      <c r="D33" s="26"/>
      <c r="E33" s="26"/>
    </row>
  </sheetData>
  <mergeCells count="1">
    <mergeCell ref="A1:A2"/>
  </mergeCells>
  <dataValidations count="1">
    <dataValidation type="list" allowBlank="1" showInputMessage="1" showErrorMessage="1" sqref="A14" xr:uid="{A2FFA6D9-FA18-4D11-BEC0-7BF07E3FE55A}">
      <formula1>"Mkt&amp;Hr,Mkt&amp;Fin"</formula1>
    </dataValidation>
  </dataValidations>
  <pageMargins left="0.7" right="0.7" top="0.75" bottom="0.75" header="0.3" footer="0.3"/>
  <pageSetup orientation="portrait" r:id="rId1"/>
  <ignoredErrors>
    <ignoredError sqref="B7" formulaRange="1"/>
  </ignoredErrors>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93B13-820E-4AC2-AB71-513CEF5EF722}">
  <dimension ref="A3:E7"/>
  <sheetViews>
    <sheetView workbookViewId="0">
      <selection activeCell="M7" sqref="M7"/>
    </sheetView>
  </sheetViews>
  <sheetFormatPr defaultRowHeight="16.8" x14ac:dyDescent="0.3"/>
  <cols>
    <col min="1" max="1" width="14.26953125" bestFit="1" customWidth="1"/>
    <col min="2" max="2" width="15.81640625" bestFit="1" customWidth="1"/>
    <col min="3" max="3" width="10.08984375" bestFit="1" customWidth="1"/>
    <col min="4" max="4" width="4.7265625" bestFit="1" customWidth="1"/>
    <col min="5" max="5" width="11.453125" bestFit="1" customWidth="1"/>
  </cols>
  <sheetData>
    <row r="3" spans="1:5" x14ac:dyDescent="0.3">
      <c r="A3" s="5" t="s">
        <v>72</v>
      </c>
      <c r="B3" s="5" t="s">
        <v>38</v>
      </c>
    </row>
    <row r="4" spans="1:5" x14ac:dyDescent="0.3">
      <c r="A4" s="5" t="s">
        <v>36</v>
      </c>
      <c r="B4" t="s">
        <v>69</v>
      </c>
      <c r="C4" t="s">
        <v>70</v>
      </c>
      <c r="D4" t="s">
        <v>71</v>
      </c>
      <c r="E4" t="s">
        <v>37</v>
      </c>
    </row>
    <row r="5" spans="1:5" x14ac:dyDescent="0.3">
      <c r="A5" s="6" t="s">
        <v>12</v>
      </c>
      <c r="B5" s="17">
        <v>1</v>
      </c>
      <c r="C5" s="17">
        <v>38</v>
      </c>
      <c r="D5" s="17">
        <v>28</v>
      </c>
      <c r="E5" s="17">
        <v>67</v>
      </c>
    </row>
    <row r="6" spans="1:5" x14ac:dyDescent="0.3">
      <c r="A6" s="6" t="s">
        <v>5</v>
      </c>
      <c r="B6" s="17">
        <v>3</v>
      </c>
      <c r="C6" s="17">
        <v>92</v>
      </c>
      <c r="D6" s="17">
        <v>53</v>
      </c>
      <c r="E6" s="17">
        <v>148</v>
      </c>
    </row>
    <row r="7" spans="1:5" x14ac:dyDescent="0.3">
      <c r="A7" s="6" t="s">
        <v>37</v>
      </c>
      <c r="B7" s="17">
        <v>4</v>
      </c>
      <c r="C7" s="17">
        <v>130</v>
      </c>
      <c r="D7" s="17">
        <v>81</v>
      </c>
      <c r="E7" s="17">
        <v>215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C8EA7-F4E4-4F0C-B004-2F1555394327}">
  <dimension ref="A3:D7"/>
  <sheetViews>
    <sheetView workbookViewId="0">
      <selection activeCell="A5" sqref="A5"/>
    </sheetView>
  </sheetViews>
  <sheetFormatPr defaultRowHeight="16.8" x14ac:dyDescent="0.3"/>
  <cols>
    <col min="1" max="1" width="23.54296875" bestFit="1" customWidth="1"/>
    <col min="2" max="2" width="15.81640625" bestFit="1" customWidth="1"/>
    <col min="3" max="3" width="8.90625" bestFit="1" customWidth="1"/>
    <col min="4" max="4" width="11.453125" bestFit="1" customWidth="1"/>
  </cols>
  <sheetData>
    <row r="3" spans="1:4" x14ac:dyDescent="0.3">
      <c r="A3" s="5" t="s">
        <v>68</v>
      </c>
      <c r="B3" s="5" t="s">
        <v>38</v>
      </c>
    </row>
    <row r="4" spans="1:4" x14ac:dyDescent="0.3">
      <c r="A4" s="5" t="s">
        <v>36</v>
      </c>
      <c r="B4" t="s">
        <v>9</v>
      </c>
      <c r="C4" t="s">
        <v>4</v>
      </c>
      <c r="D4" t="s">
        <v>37</v>
      </c>
    </row>
    <row r="5" spans="1:4" x14ac:dyDescent="0.3">
      <c r="A5" s="6" t="s">
        <v>8</v>
      </c>
      <c r="B5" s="17">
        <v>51</v>
      </c>
      <c r="C5" s="17">
        <v>23</v>
      </c>
      <c r="D5" s="17">
        <v>74</v>
      </c>
    </row>
    <row r="6" spans="1:4" x14ac:dyDescent="0.3">
      <c r="A6" s="6" t="s">
        <v>3</v>
      </c>
      <c r="B6" s="17">
        <v>69</v>
      </c>
      <c r="C6" s="17">
        <v>72</v>
      </c>
      <c r="D6" s="17">
        <v>141</v>
      </c>
    </row>
    <row r="7" spans="1:4" x14ac:dyDescent="0.3">
      <c r="A7" s="6" t="s">
        <v>37</v>
      </c>
      <c r="B7" s="17">
        <v>120</v>
      </c>
      <c r="C7" s="17">
        <v>95</v>
      </c>
      <c r="D7" s="17">
        <v>215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2614-D97D-497E-9CD8-7F0FAEC71360}">
  <dimension ref="A3:D8"/>
  <sheetViews>
    <sheetView workbookViewId="0">
      <selection activeCell="C3" sqref="C3"/>
    </sheetView>
  </sheetViews>
  <sheetFormatPr defaultRowHeight="16.8" x14ac:dyDescent="0.3"/>
  <cols>
    <col min="1" max="1" width="14.1796875" bestFit="1" customWidth="1"/>
    <col min="2" max="2" width="15.81640625" bestFit="1" customWidth="1"/>
    <col min="3" max="3" width="6.54296875" bestFit="1" customWidth="1"/>
    <col min="4" max="4" width="11.453125" bestFit="1" customWidth="1"/>
  </cols>
  <sheetData>
    <row r="3" spans="1:4" x14ac:dyDescent="0.3">
      <c r="A3" s="5" t="s">
        <v>39</v>
      </c>
      <c r="B3" s="5" t="s">
        <v>38</v>
      </c>
    </row>
    <row r="4" spans="1:4" x14ac:dyDescent="0.3">
      <c r="A4" s="5" t="s">
        <v>36</v>
      </c>
      <c r="B4" t="s">
        <v>12</v>
      </c>
      <c r="C4" t="s">
        <v>5</v>
      </c>
      <c r="D4" t="s">
        <v>37</v>
      </c>
    </row>
    <row r="5" spans="1:4" x14ac:dyDescent="0.3">
      <c r="A5" s="6" t="s">
        <v>10</v>
      </c>
      <c r="B5" s="17">
        <v>5</v>
      </c>
      <c r="C5" s="17">
        <v>6</v>
      </c>
      <c r="D5" s="17">
        <v>11</v>
      </c>
    </row>
    <row r="6" spans="1:4" x14ac:dyDescent="0.3">
      <c r="A6" s="6" t="s">
        <v>1</v>
      </c>
      <c r="B6" s="17">
        <v>34</v>
      </c>
      <c r="C6" s="17">
        <v>79</v>
      </c>
      <c r="D6" s="17">
        <v>113</v>
      </c>
    </row>
    <row r="7" spans="1:4" x14ac:dyDescent="0.3">
      <c r="A7" s="6" t="s">
        <v>7</v>
      </c>
      <c r="B7" s="17">
        <v>28</v>
      </c>
      <c r="C7" s="17">
        <v>63</v>
      </c>
      <c r="D7" s="17">
        <v>91</v>
      </c>
    </row>
    <row r="8" spans="1:4" x14ac:dyDescent="0.3">
      <c r="A8" s="6" t="s">
        <v>37</v>
      </c>
      <c r="B8" s="17">
        <v>67</v>
      </c>
      <c r="C8" s="17">
        <v>148</v>
      </c>
      <c r="D8" s="17">
        <v>215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7D190-8F67-4E55-B4D7-49D9732BB45E}">
  <dimension ref="A3:B7"/>
  <sheetViews>
    <sheetView workbookViewId="0">
      <selection activeCell="M12" sqref="M12"/>
    </sheetView>
  </sheetViews>
  <sheetFormatPr defaultRowHeight="16.8" x14ac:dyDescent="0.3"/>
  <cols>
    <col min="1" max="1" width="12.7265625" bestFit="1" customWidth="1"/>
    <col min="2" max="2" width="14.26953125" bestFit="1" customWidth="1"/>
  </cols>
  <sheetData>
    <row r="3" spans="1:2" x14ac:dyDescent="0.3">
      <c r="A3" s="5" t="s">
        <v>36</v>
      </c>
      <c r="B3" t="s">
        <v>40</v>
      </c>
    </row>
    <row r="4" spans="1:2" x14ac:dyDescent="0.3">
      <c r="A4" s="6" t="s">
        <v>10</v>
      </c>
      <c r="B4" s="17">
        <v>11</v>
      </c>
    </row>
    <row r="5" spans="1:2" x14ac:dyDescent="0.3">
      <c r="A5" s="6" t="s">
        <v>1</v>
      </c>
      <c r="B5" s="17">
        <v>113</v>
      </c>
    </row>
    <row r="6" spans="1:2" x14ac:dyDescent="0.3">
      <c r="A6" s="6" t="s">
        <v>7</v>
      </c>
      <c r="B6" s="17">
        <v>91</v>
      </c>
    </row>
    <row r="7" spans="1:2" x14ac:dyDescent="0.3">
      <c r="A7" s="6" t="s">
        <v>37</v>
      </c>
      <c r="B7" s="17">
        <v>215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C17-518D-4D1C-9092-477CA775A4C8}">
  <dimension ref="A1:A41"/>
  <sheetViews>
    <sheetView showGridLines="0" workbookViewId="0">
      <selection activeCell="K9" sqref="K9"/>
    </sheetView>
  </sheetViews>
  <sheetFormatPr defaultRowHeight="16.8" x14ac:dyDescent="0.3"/>
  <sheetData>
    <row r="1" spans="1:1" ht="17.399999999999999" x14ac:dyDescent="0.3">
      <c r="A1" s="7" t="s">
        <v>43</v>
      </c>
    </row>
    <row r="2" spans="1:1" x14ac:dyDescent="0.3">
      <c r="A2" s="8"/>
    </row>
    <row r="3" spans="1:1" x14ac:dyDescent="0.3">
      <c r="A3" s="9" t="s">
        <v>44</v>
      </c>
    </row>
    <row r="4" spans="1:1" x14ac:dyDescent="0.3">
      <c r="A4" s="8"/>
    </row>
    <row r="5" spans="1:1" x14ac:dyDescent="0.3">
      <c r="A5" s="9" t="s">
        <v>45</v>
      </c>
    </row>
    <row r="6" spans="1:1" x14ac:dyDescent="0.3">
      <c r="A6" s="8"/>
    </row>
    <row r="7" spans="1:1" x14ac:dyDescent="0.3">
      <c r="A7" s="9" t="s">
        <v>46</v>
      </c>
    </row>
    <row r="9" spans="1:1" ht="17.399999999999999" x14ac:dyDescent="0.3">
      <c r="A9" s="7" t="s">
        <v>47</v>
      </c>
    </row>
    <row r="10" spans="1:1" x14ac:dyDescent="0.3">
      <c r="A10" s="8"/>
    </row>
    <row r="11" spans="1:1" x14ac:dyDescent="0.3">
      <c r="A11" s="9" t="s">
        <v>48</v>
      </c>
    </row>
    <row r="12" spans="1:1" x14ac:dyDescent="0.3">
      <c r="A12" s="8"/>
    </row>
    <row r="13" spans="1:1" x14ac:dyDescent="0.3">
      <c r="A13" s="9" t="s">
        <v>49</v>
      </c>
    </row>
    <row r="14" spans="1:1" x14ac:dyDescent="0.3">
      <c r="A14" s="8"/>
    </row>
    <row r="15" spans="1:1" x14ac:dyDescent="0.3">
      <c r="A15" s="9" t="s">
        <v>50</v>
      </c>
    </row>
    <row r="16" spans="1:1" x14ac:dyDescent="0.3">
      <c r="A16" s="8"/>
    </row>
    <row r="17" spans="1:1" x14ac:dyDescent="0.3">
      <c r="A17" s="9" t="s">
        <v>51</v>
      </c>
    </row>
    <row r="19" spans="1:1" ht="17.399999999999999" x14ac:dyDescent="0.3">
      <c r="A19" s="7" t="s">
        <v>52</v>
      </c>
    </row>
    <row r="20" spans="1:1" x14ac:dyDescent="0.3">
      <c r="A20" s="8"/>
    </row>
    <row r="21" spans="1:1" x14ac:dyDescent="0.3">
      <c r="A21" s="9" t="s">
        <v>53</v>
      </c>
    </row>
    <row r="22" spans="1:1" x14ac:dyDescent="0.3">
      <c r="A22" s="8"/>
    </row>
    <row r="23" spans="1:1" x14ac:dyDescent="0.3">
      <c r="A23" s="9" t="s">
        <v>54</v>
      </c>
    </row>
    <row r="24" spans="1:1" x14ac:dyDescent="0.3">
      <c r="A24" s="8"/>
    </row>
    <row r="25" spans="1:1" x14ac:dyDescent="0.3">
      <c r="A25" s="9" t="s">
        <v>55</v>
      </c>
    </row>
    <row r="27" spans="1:1" ht="17.399999999999999" x14ac:dyDescent="0.3">
      <c r="A27" s="7" t="s">
        <v>56</v>
      </c>
    </row>
    <row r="28" spans="1:1" x14ac:dyDescent="0.3">
      <c r="A28" s="8"/>
    </row>
    <row r="29" spans="1:1" x14ac:dyDescent="0.3">
      <c r="A29" s="9" t="s">
        <v>57</v>
      </c>
    </row>
    <row r="30" spans="1:1" x14ac:dyDescent="0.3">
      <c r="A30" s="8"/>
    </row>
    <row r="31" spans="1:1" x14ac:dyDescent="0.3">
      <c r="A31" s="9" t="s">
        <v>58</v>
      </c>
    </row>
    <row r="32" spans="1:1" x14ac:dyDescent="0.3">
      <c r="A32" s="8"/>
    </row>
    <row r="33" spans="1:1" x14ac:dyDescent="0.3">
      <c r="A33" s="9" t="s">
        <v>59</v>
      </c>
    </row>
    <row r="34" spans="1:1" x14ac:dyDescent="0.3">
      <c r="A34" s="8"/>
    </row>
    <row r="35" spans="1:1" x14ac:dyDescent="0.3">
      <c r="A35" s="9" t="s">
        <v>60</v>
      </c>
    </row>
    <row r="37" spans="1:1" ht="17.399999999999999" x14ac:dyDescent="0.3">
      <c r="A37" s="7" t="s">
        <v>61</v>
      </c>
    </row>
    <row r="38" spans="1:1" x14ac:dyDescent="0.3">
      <c r="A38" s="8"/>
    </row>
    <row r="39" spans="1:1" x14ac:dyDescent="0.3">
      <c r="A39" s="9" t="s">
        <v>62</v>
      </c>
    </row>
    <row r="40" spans="1:1" x14ac:dyDescent="0.3">
      <c r="A40" s="8"/>
    </row>
    <row r="41" spans="1:1" x14ac:dyDescent="0.3">
      <c r="A41" s="9" t="s">
        <v>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Placement_Data_Full_Class</vt:lpstr>
      <vt:lpstr>Data_insights</vt:lpstr>
      <vt:lpstr>Placement_As_Per_Grade</vt:lpstr>
      <vt:lpstr>Placement_status_on_previous_ex</vt:lpstr>
      <vt:lpstr>Placement_asper_department</vt:lpstr>
      <vt:lpstr>Number_Of_student_per_departmen</vt:lpstr>
      <vt:lpstr>Questions that are answerd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vinay tirthani</dc:creator>
  <cp:lastModifiedBy>vinay tirthani</cp:lastModifiedBy>
  <cp:lastPrinted>2026-03-13T22:07:45Z</cp:lastPrinted>
  <dcterms:created xsi:type="dcterms:W3CDTF">2026-03-06T18:00:07Z</dcterms:created>
  <dcterms:modified xsi:type="dcterms:W3CDTF">2026-03-13T22:07:53Z</dcterms:modified>
</cp:coreProperties>
</file>